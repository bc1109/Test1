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Work\TNET\Configs\"/>
    </mc:Choice>
  </mc:AlternateContent>
  <xr:revisionPtr revIDLastSave="0" documentId="13_ncr:1_{A804531D-E65A-4452-9CF6-D40EA18F0E30}" xr6:coauthVersionLast="43" xr6:coauthVersionMax="44" xr10:uidLastSave="{00000000-0000-0000-0000-000000000000}"/>
  <bookViews>
    <workbookView xWindow="-98" yWindow="248" windowWidth="25396" windowHeight="15599" activeTab="2" xr2:uid="{793B0A6B-9405-4940-BFFA-1DAA77D2B8FB}"/>
  </bookViews>
  <sheets>
    <sheet name="Variables" sheetId="4" r:id="rId1"/>
    <sheet name="FCAN Network Information" sheetId="13" r:id="rId2"/>
    <sheet name="UCAN Network Information" sheetId="14" r:id="rId3"/>
    <sheet name="MCAN Network Information" sheetId="15" r:id="rId4"/>
    <sheet name="RCAN Network Information" sheetId="16" r:id="rId5"/>
    <sheet name="FCAN-Transport-Router-Template" sheetId="2" r:id="rId6"/>
    <sheet name="FCAN-Transport-Switch-Template" sheetId="5" r:id="rId7"/>
    <sheet name="FCAN-Transport-FW-Template" sheetId="6" r:id="rId8"/>
    <sheet name="UCAN-Transport-Router-Template" sheetId="8" r:id="rId9"/>
    <sheet name="UCAN-Transport-Switch-Template" sheetId="9" r:id="rId10"/>
    <sheet name="UCAN-Transport-FW-Template" sheetId="10" r:id="rId11"/>
  </sheets>
  <functionGroups builtInGroupCount="19"/>
  <definedNames>
    <definedName name="Comm_Interface_Mask">Variables!#REF!</definedName>
    <definedName name="Comm_Tunnel_Subnet">Variables!$B$33</definedName>
    <definedName name="Comm_Tunnel_Subnet_Mask">Variables!$B$34</definedName>
    <definedName name="Commercial_NHRP_Net_ID">Variables!$B$32</definedName>
    <definedName name="Commercial_PSK">Variables!$B$35</definedName>
    <definedName name="Commercial_Tunnel_Destination">Variables!$B$30</definedName>
    <definedName name="Commercial_Tunnel_Key">Variables!$B$31</definedName>
    <definedName name="Commercial_Tunnel_Number">Variables!$B$29</definedName>
    <definedName name="Domain_Name">Variables!$B$7</definedName>
    <definedName name="Enable_Secret">Variables!$B$6</definedName>
    <definedName name="FCAN_Commercial_IP" localSheetId="3">'MCAN Network Information'!$B$17</definedName>
    <definedName name="FCAN_Commercial_IP" localSheetId="4">'RCAN Network Information'!$B$17</definedName>
    <definedName name="FCAN_Commercial_IP" localSheetId="2">'UCAN Network Information'!$B$17</definedName>
    <definedName name="FCAN_Commercial_IP">'FCAN Network Information'!$B$17</definedName>
    <definedName name="FCAN_Commercial_Mask" localSheetId="3">'MCAN Network Information'!$B$18</definedName>
    <definedName name="FCAN_Commercial_Mask" localSheetId="4">'RCAN Network Information'!$B$18</definedName>
    <definedName name="FCAN_Commercial_Mask" localSheetId="2">'UCAN Network Information'!$B$18</definedName>
    <definedName name="FCAN_Commercial_Mask">'FCAN Network Information'!$B$18</definedName>
    <definedName name="FCAN_Secure_CT_IP" localSheetId="3">'MCAN Network Information'!$B$9</definedName>
    <definedName name="FCAN_Secure_CT_IP" localSheetId="4">'RCAN Network Information'!$B$9</definedName>
    <definedName name="FCAN_Secure_CT_IP" localSheetId="2">'UCAN Network Information'!$B$9</definedName>
    <definedName name="FCAN_Secure_CT_IP">'FCAN Network Information'!$B$9</definedName>
    <definedName name="FCAN_Secure_CT_Subnetmask" localSheetId="3">'MCAN Network Information'!$B$10</definedName>
    <definedName name="FCAN_Secure_CT_Subnetmask" localSheetId="4">'RCAN Network Information'!$B$10</definedName>
    <definedName name="FCAN_Secure_CT_Subnetmask" localSheetId="2">'UCAN Network Information'!$B$10</definedName>
    <definedName name="FCAN_Secure_CT_Subnetmask">'FCAN Network Information'!$B$10</definedName>
    <definedName name="FCAN_Transport_FW_MGMT_IP" localSheetId="3">'MCAN Network Information'!$B$21</definedName>
    <definedName name="FCAN_Transport_FW_MGMT_IP" localSheetId="4">'RCAN Network Information'!$B$21</definedName>
    <definedName name="FCAN_Transport_FW_MGMT_IP" localSheetId="2">'UCAN Network Information'!$B$21</definedName>
    <definedName name="FCAN_Transport_FW_MGMT_IP">'FCAN Network Information'!$B$21</definedName>
    <definedName name="FCAN_Transport_FW_Trusted_IP" localSheetId="3">'MCAN Network Information'!$B$23</definedName>
    <definedName name="FCAN_Transport_FW_Trusted_IP" localSheetId="4">'RCAN Network Information'!$B$23</definedName>
    <definedName name="FCAN_Transport_FW_Trusted_IP" localSheetId="2">'UCAN Network Information'!$B$23</definedName>
    <definedName name="FCAN_Transport_FW_Trusted_IP">'FCAN Network Information'!$B$23</definedName>
    <definedName name="FCAN_Transport_FW_Trusted_Mask" localSheetId="3">'MCAN Network Information'!$B$24</definedName>
    <definedName name="FCAN_Transport_FW_Trusted_Mask" localSheetId="4">'RCAN Network Information'!$B$24</definedName>
    <definedName name="FCAN_Transport_FW_Trusted_Mask" localSheetId="2">'UCAN Network Information'!$B$24</definedName>
    <definedName name="FCAN_Transport_FW_Trusted_Mask">'FCAN Network Information'!$B$24</definedName>
    <definedName name="FCAN_Transport_LoopBack" localSheetId="3">'MCAN Network Information'!$B$4</definedName>
    <definedName name="FCAN_Transport_LoopBack" localSheetId="4">'RCAN Network Information'!$B$4</definedName>
    <definedName name="FCAN_Transport_LoopBack" localSheetId="2">'UCAN Network Information'!$B$4</definedName>
    <definedName name="FCAN_Transport_LoopBack">'FCAN Network Information'!$B$4</definedName>
    <definedName name="FCAN_Transport_Loopback_Mask" localSheetId="3">'MCAN Network Information'!$B$5</definedName>
    <definedName name="FCAN_Transport_Loopback_Mask" localSheetId="4">'RCAN Network Information'!$B$5</definedName>
    <definedName name="FCAN_Transport_Loopback_Mask" localSheetId="2">'UCAN Network Information'!$B$5</definedName>
    <definedName name="FCAN_Transport_Loopback_Mask">'FCAN Network Information'!$B$5</definedName>
    <definedName name="FCAN_Transport_MGMT_GW_IP" localSheetId="3">'MCAN Network Information'!$B$7</definedName>
    <definedName name="FCAN_Transport_MGMT_GW_IP" localSheetId="4">'RCAN Network Information'!$B$7</definedName>
    <definedName name="FCAN_Transport_MGMT_GW_IP" localSheetId="2">'UCAN Network Information'!$B$7</definedName>
    <definedName name="FCAN_Transport_MGMT_GW_IP">'FCAN Network Information'!$B$7</definedName>
    <definedName name="FCAN_Transport_MGMT_MASK" localSheetId="3">'MCAN Network Information'!$B$8</definedName>
    <definedName name="FCAN_Transport_MGMT_MASK" localSheetId="4">'RCAN Network Information'!$B$8</definedName>
    <definedName name="FCAN_Transport_MGMT_MASK" localSheetId="2">'UCAN Network Information'!$B$8</definedName>
    <definedName name="FCAN_Transport_MGMT_MASK">'FCAN Network Information'!$B$8</definedName>
    <definedName name="FCAN_Transport_MGMT_Network" localSheetId="3">'MCAN Network Information'!$B$6</definedName>
    <definedName name="FCAN_Transport_MGMT_Network" localSheetId="4">'RCAN Network Information'!$B$6</definedName>
    <definedName name="FCAN_Transport_MGMT_Network" localSheetId="2">'UCAN Network Information'!$B$6</definedName>
    <definedName name="FCAN_Transport_MGMT_Network">'FCAN Network Information'!$B$6</definedName>
    <definedName name="FCAN_Transport_SW_MGMT_IP" localSheetId="3">'MCAN Network Information'!$B$27</definedName>
    <definedName name="FCAN_Transport_SW_MGMT_IP" localSheetId="4">'RCAN Network Information'!$B$27</definedName>
    <definedName name="FCAN_Transport_SW_MGMT_IP" localSheetId="2">'UCAN Network Information'!$B$27</definedName>
    <definedName name="FCAN_Transport_SW_MGMT_IP">'FCAN Network Information'!$B$27</definedName>
    <definedName name="FCAN_WGS_Interface_IP" localSheetId="3">'MCAN Network Information'!$B$13</definedName>
    <definedName name="FCAN_WGS_Interface_IP" localSheetId="4">'RCAN Network Information'!$B$13</definedName>
    <definedName name="FCAN_WGS_Interface_IP" localSheetId="2">'UCAN Network Information'!$B$13</definedName>
    <definedName name="FCAN_WGS_Interface_IP">'FCAN Network Information'!$B$13</definedName>
    <definedName name="FCAN_WGS_Mask" localSheetId="3">'MCAN Network Information'!$B$14</definedName>
    <definedName name="FCAN_WGS_Mask" localSheetId="4">'RCAN Network Information'!$B$14</definedName>
    <definedName name="FCAN_WGS_Mask" localSheetId="2">'UCAN Network Information'!$B$14</definedName>
    <definedName name="FCAN_WGS_Mask">'FCAN Network Information'!$B$14</definedName>
    <definedName name="FCAN_WGS_Modem_IP" localSheetId="3">'MCAN Network Information'!$B$15</definedName>
    <definedName name="FCAN_WGS_Modem_IP" localSheetId="4">'RCAN Network Information'!$B$15</definedName>
    <definedName name="FCAN_WGS_Modem_IP" localSheetId="2">'UCAN Network Information'!$B$15</definedName>
    <definedName name="FCAN_WGS_Modem_IP">'FCAN Network Information'!$B$15</definedName>
    <definedName name="Hostname">Variables!$B$2</definedName>
    <definedName name="Logging_Host">Variables!$B$9</definedName>
    <definedName name="MCAN_Restricted_Subnet">Variables!$E$13</definedName>
    <definedName name="MCAN_Secure_Subnet">Variables!$E$15</definedName>
    <definedName name="MCAN_Transport_Subnet">Variables!$E$12</definedName>
    <definedName name="MCAN_Unclassified_Subnet">Variables!$E$14</definedName>
    <definedName name="NTP_Server">Variables!$B$10</definedName>
    <definedName name="Password">Variables!$B$5</definedName>
    <definedName name="Priviledge_Level">Variables!$B$4</definedName>
    <definedName name="UCAN_ASA_MGMT_IP">Variables!#REF!</definedName>
    <definedName name="UCAN_ASA_MGMT_Mask">Variables!#REF!</definedName>
    <definedName name="UCAN_ASA_Trusted_IP">Variables!#REF!</definedName>
    <definedName name="UCAN_ASA_Trusted_Mask">Variables!#REF!</definedName>
    <definedName name="UCAN_COMM_IP">Variables!#REF!</definedName>
    <definedName name="UCAN_COMM_Mask">Variables!#REF!</definedName>
    <definedName name="UCAN_CT_IP">Variables!#REF!</definedName>
    <definedName name="UCAN_CT_Mask">Variables!#REF!</definedName>
    <definedName name="UCAN_Loopback">Variables!#REF!</definedName>
    <definedName name="UCAN_Loopback_Mask">Variables!#REF!</definedName>
    <definedName name="UCAN_MGMT_GW_IP">Variables!#REF!</definedName>
    <definedName name="UCAN_MGMT_Mask">Variables!#REF!</definedName>
    <definedName name="UCAN_MGMT_Network">Variables!#REF!</definedName>
    <definedName name="UCAN_Restricted_Subnet">Variables!$E$8</definedName>
    <definedName name="UCAN_Secure_Subnet">Variables!$E$10</definedName>
    <definedName name="UCAN_Switch_Default_GW">Variables!#REF!</definedName>
    <definedName name="UCAN_Switch_MGMT_IP">Variables!#REF!</definedName>
    <definedName name="UCAN_Switch_MGMT_Mask">Variables!#REF!</definedName>
    <definedName name="UCAN_Transport_Subnet">Variables!$E$7</definedName>
    <definedName name="UCAN_Unclassified_Subnet">Variables!$E$9</definedName>
    <definedName name="UCAN_WGS_IP">Variables!#REF!</definedName>
    <definedName name="UCAN_WGS_Mask">Variables!#REF!</definedName>
    <definedName name="UCAN_WGS_Modem">Variables!#REF!</definedName>
    <definedName name="Username">Variables!$B$3</definedName>
    <definedName name="VTP_Domain">Variables!$B$8</definedName>
    <definedName name="WGS_NHRP_ID">Variables!$B$24</definedName>
    <definedName name="WGS_PSK">Variables!$B$27</definedName>
    <definedName name="WGS_Tunnel_Destination">Variables!$B$22</definedName>
    <definedName name="WGS_Tunnel_Key">Variables!$B$23</definedName>
    <definedName name="WGS_Tunnel_mask">Variables!$B$26</definedName>
    <definedName name="WGS_Tunnel_Number">Variables!$B$21</definedName>
    <definedName name="WGS_Tunnel_Subnet">Variables!$B$25</definedName>
    <definedName name="WGS_Tunnel_Subnet_Mask">Variables!$B$26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4" i="16" l="1"/>
  <c r="K30" i="16"/>
  <c r="K28" i="16"/>
  <c r="H28" i="16"/>
  <c r="E28" i="16"/>
  <c r="B28" i="16"/>
  <c r="H24" i="16"/>
  <c r="E24" i="16"/>
  <c r="B24" i="16"/>
  <c r="H22" i="16"/>
  <c r="B22" i="16"/>
  <c r="E18" i="16"/>
  <c r="K34" i="15"/>
  <c r="K30" i="15"/>
  <c r="K28" i="15"/>
  <c r="H28" i="15"/>
  <c r="E28" i="15"/>
  <c r="B28" i="15"/>
  <c r="H24" i="15"/>
  <c r="E24" i="15"/>
  <c r="B24" i="15"/>
  <c r="H22" i="15"/>
  <c r="B22" i="15"/>
  <c r="E18" i="15"/>
  <c r="K34" i="14"/>
  <c r="K30" i="14"/>
  <c r="K28" i="14"/>
  <c r="H28" i="14"/>
  <c r="E28" i="14"/>
  <c r="B28" i="14"/>
  <c r="H24" i="14"/>
  <c r="E24" i="14"/>
  <c r="B24" i="14"/>
  <c r="H22" i="14"/>
  <c r="B22" i="14"/>
  <c r="E18" i="14"/>
  <c r="E13" i="14"/>
  <c r="E9" i="14"/>
  <c r="E6" i="14"/>
  <c r="E4" i="14"/>
  <c r="B17" i="14"/>
  <c r="B15" i="14"/>
  <c r="B13" i="14"/>
  <c r="B9" i="14"/>
  <c r="B6" i="14"/>
  <c r="B4" i="14"/>
  <c r="K19" i="16"/>
  <c r="H17" i="16"/>
  <c r="H23" i="16" s="1"/>
  <c r="B17" i="16"/>
  <c r="B23" i="16" s="1"/>
  <c r="H15" i="16"/>
  <c r="K13" i="16"/>
  <c r="E13" i="16"/>
  <c r="K9" i="16"/>
  <c r="E9" i="16"/>
  <c r="K7" i="16"/>
  <c r="K6" i="16"/>
  <c r="E6" i="16"/>
  <c r="E7" i="16" s="1"/>
  <c r="K4" i="16"/>
  <c r="E4" i="16"/>
  <c r="E23" i="16"/>
  <c r="K21" i="16"/>
  <c r="K29" i="16" s="1"/>
  <c r="E19" i="16"/>
  <c r="K17" i="16"/>
  <c r="E17" i="16"/>
  <c r="K15" i="16"/>
  <c r="B15" i="16"/>
  <c r="H13" i="16"/>
  <c r="B13" i="16"/>
  <c r="H9" i="16"/>
  <c r="B9" i="16"/>
  <c r="H6" i="16"/>
  <c r="H7" i="16" s="1"/>
  <c r="B6" i="16"/>
  <c r="B7" i="16" s="1"/>
  <c r="H4" i="16"/>
  <c r="B4" i="16"/>
  <c r="K19" i="15"/>
  <c r="H17" i="15"/>
  <c r="H23" i="15" s="1"/>
  <c r="B17" i="15"/>
  <c r="B23" i="15" s="1"/>
  <c r="H15" i="15"/>
  <c r="K13" i="15"/>
  <c r="E13" i="15"/>
  <c r="K9" i="15"/>
  <c r="E9" i="15"/>
  <c r="K7" i="15"/>
  <c r="K6" i="15"/>
  <c r="E6" i="15"/>
  <c r="E7" i="15" s="1"/>
  <c r="K4" i="15"/>
  <c r="E4" i="15"/>
  <c r="E23" i="15"/>
  <c r="K21" i="15"/>
  <c r="K29" i="15" s="1"/>
  <c r="E19" i="15"/>
  <c r="K17" i="15"/>
  <c r="E17" i="15"/>
  <c r="K15" i="15"/>
  <c r="B15" i="15"/>
  <c r="H13" i="15"/>
  <c r="B13" i="15"/>
  <c r="H9" i="15"/>
  <c r="B9" i="15"/>
  <c r="H6" i="15"/>
  <c r="H7" i="15" s="1"/>
  <c r="B6" i="15"/>
  <c r="B7" i="15" s="1"/>
  <c r="H4" i="15"/>
  <c r="B4" i="15"/>
  <c r="K19" i="14"/>
  <c r="H17" i="14"/>
  <c r="H23" i="14" s="1"/>
  <c r="B23" i="14"/>
  <c r="H15" i="14"/>
  <c r="K13" i="14"/>
  <c r="K9" i="14"/>
  <c r="K7" i="14"/>
  <c r="K6" i="14"/>
  <c r="E7" i="14"/>
  <c r="K4" i="14"/>
  <c r="E23" i="14"/>
  <c r="K21" i="14"/>
  <c r="K29" i="14" s="1"/>
  <c r="E19" i="14"/>
  <c r="K17" i="14"/>
  <c r="E17" i="14"/>
  <c r="K15" i="14"/>
  <c r="H13" i="14"/>
  <c r="H9" i="14"/>
  <c r="H6" i="14"/>
  <c r="H7" i="14" s="1"/>
  <c r="B7" i="14"/>
  <c r="H4" i="14"/>
  <c r="K27" i="14"/>
  <c r="K33" i="14"/>
  <c r="E27" i="14"/>
  <c r="H27" i="14"/>
  <c r="H21" i="14"/>
  <c r="B21" i="14"/>
  <c r="B27" i="14"/>
  <c r="K27" i="15"/>
  <c r="K33" i="15"/>
  <c r="E27" i="15"/>
  <c r="H27" i="15"/>
  <c r="H21" i="15"/>
  <c r="B21" i="15"/>
  <c r="B27" i="15"/>
  <c r="K27" i="16"/>
  <c r="K33" i="16"/>
  <c r="E27" i="16"/>
  <c r="H27" i="16"/>
  <c r="H21" i="16"/>
  <c r="B21" i="16"/>
  <c r="B27" i="16"/>
  <c r="B29" i="16" l="1"/>
  <c r="H29" i="16"/>
  <c r="E29" i="16"/>
  <c r="E25" i="16"/>
  <c r="K35" i="16"/>
  <c r="B29" i="15"/>
  <c r="H29" i="15"/>
  <c r="E29" i="15"/>
  <c r="E25" i="15"/>
  <c r="K35" i="15"/>
  <c r="B29" i="14"/>
  <c r="H29" i="14"/>
  <c r="E29" i="14"/>
  <c r="E25" i="14"/>
  <c r="K35" i="14"/>
  <c r="E18" i="13"/>
  <c r="E19" i="13"/>
  <c r="B22" i="13" l="1"/>
  <c r="H22" i="13"/>
  <c r="B24" i="13"/>
  <c r="E4" i="13"/>
  <c r="K4" i="13"/>
  <c r="E6" i="13"/>
  <c r="K6" i="13"/>
  <c r="E7" i="13"/>
  <c r="K7" i="13"/>
  <c r="E9" i="13"/>
  <c r="K9" i="13"/>
  <c r="E13" i="13"/>
  <c r="K13" i="13"/>
  <c r="H15" i="13"/>
  <c r="B17" i="13"/>
  <c r="H17" i="13"/>
  <c r="K19" i="13"/>
  <c r="K21" i="13"/>
  <c r="B23" i="13"/>
  <c r="B4" i="13"/>
  <c r="H4" i="13"/>
  <c r="B6" i="13"/>
  <c r="H6" i="13"/>
  <c r="B7" i="13"/>
  <c r="H7" i="13"/>
  <c r="B9" i="13"/>
  <c r="H9" i="13"/>
  <c r="B13" i="13"/>
  <c r="H13" i="13"/>
  <c r="B15" i="13"/>
  <c r="K15" i="13"/>
  <c r="E17" i="13"/>
  <c r="K17" i="13"/>
  <c r="B21" i="13"/>
  <c r="H21" i="13"/>
  <c r="E23" i="13"/>
  <c r="A330" i="2"/>
  <c r="A344" i="2"/>
  <c r="A346" i="2"/>
  <c r="A183" i="5"/>
  <c r="A186" i="5"/>
  <c r="A331" i="2"/>
  <c r="A332" i="2"/>
  <c r="A68" i="6" l="1"/>
  <c r="A241" i="2"/>
  <c r="A275" i="2"/>
  <c r="A170" i="5"/>
  <c r="A267" i="2"/>
  <c r="A196" i="6"/>
  <c r="A136" i="6"/>
  <c r="A171" i="2"/>
  <c r="A340" i="2"/>
  <c r="A19" i="6"/>
  <c r="E25" i="13"/>
  <c r="E24" i="13"/>
  <c r="H24" i="13"/>
  <c r="B28" i="13"/>
  <c r="E28" i="13"/>
  <c r="H28" i="13"/>
  <c r="K28" i="13"/>
  <c r="B29" i="13"/>
  <c r="E29" i="13"/>
  <c r="H23" i="13"/>
  <c r="B27" i="13"/>
  <c r="H27" i="13"/>
  <c r="E27" i="13"/>
  <c r="K27" i="13"/>
  <c r="A166" i="5" l="1"/>
  <c r="H29" i="13"/>
  <c r="K30" i="13"/>
  <c r="K29" i="13"/>
  <c r="K33" i="13"/>
  <c r="K34" i="13" l="1"/>
  <c r="K35" i="13"/>
  <c r="A10" i="5" l="1"/>
  <c r="A3" i="6"/>
  <c r="A3" i="10"/>
  <c r="A10" i="9"/>
  <c r="A6" i="8"/>
  <c r="A6" i="2"/>
  <c r="A208" i="10"/>
  <c r="A4" i="10"/>
  <c r="A225" i="9"/>
  <c r="A189" i="9"/>
  <c r="A70" i="9"/>
  <c r="A35" i="9"/>
  <c r="A27" i="9"/>
  <c r="A22" i="9"/>
  <c r="A349" i="8"/>
  <c r="A290" i="8"/>
  <c r="A289" i="8"/>
  <c r="A283" i="8"/>
  <c r="A277" i="8"/>
  <c r="A275" i="8"/>
  <c r="A270" i="8"/>
  <c r="A264" i="8"/>
  <c r="A262" i="8"/>
  <c r="A208" i="8"/>
  <c r="A207" i="8"/>
  <c r="A200" i="8"/>
  <c r="A190" i="8"/>
  <c r="A189" i="8"/>
  <c r="A182" i="8"/>
  <c r="A113" i="8"/>
  <c r="A107" i="8"/>
  <c r="A87" i="8"/>
  <c r="A64" i="8"/>
  <c r="A12" i="8"/>
  <c r="A291" i="8"/>
  <c r="A292" i="8"/>
  <c r="A196" i="10" l="1"/>
  <c r="A136" i="10"/>
  <c r="A230" i="8"/>
  <c r="A247" i="8"/>
  <c r="A171" i="8"/>
  <c r="A302" i="8"/>
  <c r="A183" i="9"/>
  <c r="A305" i="8"/>
  <c r="A307" i="8"/>
  <c r="A186" i="9"/>
  <c r="A293" i="8"/>
  <c r="A19" i="10" l="1"/>
  <c r="A301" i="8"/>
  <c r="A170" i="9"/>
  <c r="A208" i="6"/>
  <c r="A4" i="6"/>
  <c r="A70" i="5"/>
  <c r="A22" i="5"/>
  <c r="A12" i="2"/>
  <c r="A35" i="5"/>
  <c r="A27" i="5"/>
  <c r="A225" i="5"/>
  <c r="A189" i="5"/>
  <c r="A207" i="2"/>
  <c r="A166" i="9" l="1"/>
  <c r="A284" i="2"/>
  <c r="A341" i="2"/>
  <c r="A87" i="2"/>
  <c r="A320" i="2"/>
  <c r="A307" i="2"/>
  <c r="A314" i="2"/>
  <c r="A301" i="2"/>
  <c r="A299" i="2"/>
  <c r="A312" i="2"/>
  <c r="A327" i="2"/>
  <c r="A326" i="2"/>
  <c r="A113" i="2"/>
  <c r="A107" i="2"/>
  <c r="A388" i="2"/>
  <c r="A208" i="2"/>
  <c r="A200" i="2"/>
  <c r="A182" i="2"/>
  <c r="A190" i="2"/>
  <c r="A189" i="2"/>
  <c r="A64" i="2"/>
  <c r="A328" i="2"/>
  <c r="A329" i="2"/>
  <c r="A68" i="10" l="1"/>
</calcChain>
</file>

<file path=xl/sharedStrings.xml><?xml version="1.0" encoding="utf-8"?>
<sst xmlns="http://schemas.openxmlformats.org/spreadsheetml/2006/main" count="2212" uniqueCount="559">
  <si>
    <t>1.1.1.1</t>
  </si>
  <si>
    <t>!</t>
  </si>
  <si>
    <t>version 15.7</t>
  </si>
  <si>
    <t>service timestamps debug datetime msec</t>
  </si>
  <si>
    <t>service timestamps log datetime msec</t>
  </si>
  <si>
    <t>service password-encryption</t>
  </si>
  <si>
    <t>boot-start-marker</t>
  </si>
  <si>
    <t>boot-end-marker</t>
  </si>
  <si>
    <t>aaa new-model</t>
  </si>
  <si>
    <t>aaa authentication login Local_Auth local</t>
  </si>
  <si>
    <t>aaa authorization console</t>
  </si>
  <si>
    <t xml:space="preserve">aaa authorization exec Local_Auth local </t>
  </si>
  <si>
    <t xml:space="preserve">aaa authorization network default local </t>
  </si>
  <si>
    <t>aaa session-id common</t>
  </si>
  <si>
    <t>clock timezone EST -5 0</t>
  </si>
  <si>
    <t>mmi polling-interval 60</t>
  </si>
  <si>
    <t>no mmi auto-configure</t>
  </si>
  <si>
    <t>no mmi pvc</t>
  </si>
  <si>
    <t>mmi snmp-timeout 180</t>
  </si>
  <si>
    <t>call-home</t>
  </si>
  <si>
    <t xml:space="preserve"> ! If contact email address in call-home is configured as sch-smart-licensing@cisco.com</t>
  </si>
  <si>
    <t xml:space="preserve"> ! the email address configured in Cisco Smart License Portal will be used as contact email address to send SCH notifications.</t>
  </si>
  <si>
    <t xml:space="preserve"> contact-email-addr sch-smart-licensing@cisco.com</t>
  </si>
  <si>
    <t xml:space="preserve"> profile "CiscoTAC-1"</t>
  </si>
  <si>
    <t xml:space="preserve">  active</t>
  </si>
  <si>
    <t xml:space="preserve">  destination transport-method http</t>
  </si>
  <si>
    <t xml:space="preserve">  no destination transport-method email</t>
  </si>
  <si>
    <t>ip vrf COMM</t>
  </si>
  <si>
    <t xml:space="preserve"> rd 200:1</t>
  </si>
  <si>
    <t>ip vrf WGS</t>
  </si>
  <si>
    <t xml:space="preserve"> rd 100:1</t>
  </si>
  <si>
    <t xml:space="preserve">ip multicast-routing </t>
  </si>
  <si>
    <t>ip cef</t>
  </si>
  <si>
    <t>no ipv6 cef</t>
  </si>
  <si>
    <t>multilink bundle-name authenticated</t>
  </si>
  <si>
    <t>crypto pki trustpoint SLA-TrustPoint</t>
  </si>
  <si>
    <t xml:space="preserve"> enrollment pkcs12</t>
  </si>
  <si>
    <t xml:space="preserve"> revocation-check crl</t>
  </si>
  <si>
    <t>crypto pki certificate chain SLA-TrustPoint</t>
  </si>
  <si>
    <t xml:space="preserve"> certificate ca 01 nvram:CiscoLicensi#1CA.cer</t>
  </si>
  <si>
    <t>license udi pid CISCO5921-K9 sn 9VX4534KAUZ</t>
  </si>
  <si>
    <t>license platform throughput level c5921-x86-level6</t>
  </si>
  <si>
    <t>redundancy</t>
  </si>
  <si>
    <t xml:space="preserve">! </t>
  </si>
  <si>
    <t xml:space="preserve">crypto ikev2 proposal IKEv2-PROP </t>
  </si>
  <si>
    <t xml:space="preserve"> encryption aes-cbc-256</t>
  </si>
  <si>
    <t xml:space="preserve"> integrity sha384</t>
  </si>
  <si>
    <t xml:space="preserve"> group 20</t>
  </si>
  <si>
    <t xml:space="preserve">crypto ikev2 policy IKEv2-POL </t>
  </si>
  <si>
    <t xml:space="preserve"> match fvrf any</t>
  </si>
  <si>
    <t xml:space="preserve"> proposal IKEv2-PROP</t>
  </si>
  <si>
    <t>no crypto ikev2 policy default</t>
  </si>
  <si>
    <t>crypto ikev2 keyring Spoke-KEY</t>
  </si>
  <si>
    <t xml:space="preserve"> peer Spokes</t>
  </si>
  <si>
    <t xml:space="preserve">  address 0.0.0.0 0.0.0.0</t>
  </si>
  <si>
    <t xml:space="preserve"> !</t>
  </si>
  <si>
    <t>crypto ikev2 keyring COMM-Spoke-KEY</t>
  </si>
  <si>
    <t xml:space="preserve"> peer COMM-Spokes</t>
  </si>
  <si>
    <t>crypto ikev2 profile Spoke-P1</t>
  </si>
  <si>
    <t xml:space="preserve"> match fvrf WGS</t>
  </si>
  <si>
    <t xml:space="preserve"> match identity remote address 0.0.0.0 </t>
  </si>
  <si>
    <t xml:space="preserve"> authentication remote pre-share</t>
  </si>
  <si>
    <t xml:space="preserve"> authentication local pre-share</t>
  </si>
  <si>
    <t xml:space="preserve"> keyring local Spoke-KEY</t>
  </si>
  <si>
    <t xml:space="preserve"> dpd 10 2 on-demand</t>
  </si>
  <si>
    <t xml:space="preserve"> nat keepalive 10</t>
  </si>
  <si>
    <t xml:space="preserve"> virtual-template 1</t>
  </si>
  <si>
    <t>crypto ikev2 profile Spoke-P2</t>
  </si>
  <si>
    <t xml:space="preserve"> match fvrf COMM</t>
  </si>
  <si>
    <t xml:space="preserve"> keyring local COMM-Spoke-KEY</t>
  </si>
  <si>
    <t xml:space="preserve"> virtual-template 2</t>
  </si>
  <si>
    <t xml:space="preserve">crypto ipsec transform-set Tunnel-Encrypt-WGS esp-aes 256 esp-sha384-hmac </t>
  </si>
  <si>
    <t xml:space="preserve"> mode transport</t>
  </si>
  <si>
    <t xml:space="preserve">crypto ipsec transform-set Tunnel-Encrypt-COMM esp-aes 256 esp-sha384-hmac </t>
  </si>
  <si>
    <t>crypto ipsec profile Spoke-ESP1</t>
  </si>
  <si>
    <t xml:space="preserve"> set security-association lifetime kilobytes 102400</t>
  </si>
  <si>
    <t xml:space="preserve"> set security-association lifetime seconds 1800</t>
  </si>
  <si>
    <t xml:space="preserve"> set security-association replay disable </t>
  </si>
  <si>
    <t xml:space="preserve"> set security-association ecn propagate</t>
  </si>
  <si>
    <t xml:space="preserve"> set transform-set Tunnel-Encrypt-WGS</t>
  </si>
  <si>
    <t xml:space="preserve"> set pfs group20</t>
  </si>
  <si>
    <t xml:space="preserve"> set ikev2-profile Spoke-P1</t>
  </si>
  <si>
    <t>crypto ipsec profile Spoke-ESP2</t>
  </si>
  <si>
    <t xml:space="preserve"> set transform-set Tunnel-Encrypt-COMM</t>
  </si>
  <si>
    <t xml:space="preserve"> set ikev2-profile Spoke-P2</t>
  </si>
  <si>
    <t>no crypto ipsec profile default</t>
  </si>
  <si>
    <t>interface Loopback0</t>
  </si>
  <si>
    <t xml:space="preserve"> no ip redirects</t>
  </si>
  <si>
    <t xml:space="preserve"> no ip unreachables</t>
  </si>
  <si>
    <t xml:space="preserve"> no ip proxy-arp</t>
  </si>
  <si>
    <t xml:space="preserve"> ip pim sparse-dense-mode</t>
  </si>
  <si>
    <t>interface Tunnel10</t>
  </si>
  <si>
    <t xml:space="preserve"> description &lt;= TUNNEL-OVER-WGS =&gt;</t>
  </si>
  <si>
    <t xml:space="preserve"> ip address negotiated</t>
  </si>
  <si>
    <t xml:space="preserve"> ip mtu 1400</t>
  </si>
  <si>
    <t xml:space="preserve"> ip pim sparse-mode</t>
  </si>
  <si>
    <t xml:space="preserve"> ip nhrp shortcut virtual-template 1</t>
  </si>
  <si>
    <t xml:space="preserve"> ip nhrp redirect</t>
  </si>
  <si>
    <t xml:space="preserve"> ip virtual-reassembly in max-fragments 64 max-reassemblies 1024</t>
  </si>
  <si>
    <t xml:space="preserve"> ip ospf cost 500</t>
  </si>
  <si>
    <t xml:space="preserve"> qos pre-classify</t>
  </si>
  <si>
    <t xml:space="preserve"> tunnel path-mtu-discovery</t>
  </si>
  <si>
    <t xml:space="preserve"> tunnel vrf WGS</t>
  </si>
  <si>
    <t xml:space="preserve"> tunnel protection ipsec profile Spoke-ESP1</t>
  </si>
  <si>
    <t>interface Tunnel20</t>
  </si>
  <si>
    <t xml:space="preserve"> description &lt;= TUNNEL-COMMERCIAL =&gt;</t>
  </si>
  <si>
    <t xml:space="preserve"> ip nhrp shortcut virtual-template 2</t>
  </si>
  <si>
    <t xml:space="preserve"> ip ospf cost 750</t>
  </si>
  <si>
    <t xml:space="preserve"> tunnel source Ethernet0/2</t>
  </si>
  <si>
    <t xml:space="preserve"> tunnel vrf COMM</t>
  </si>
  <si>
    <t xml:space="preserve"> tunnel protection ipsec profile Spoke-ESP2</t>
  </si>
  <si>
    <t>interface Ethernet0/0</t>
  </si>
  <si>
    <t xml:space="preserve"> description Port C</t>
  </si>
  <si>
    <t xml:space="preserve"> no ip address</t>
  </si>
  <si>
    <t xml:space="preserve"> shutdown</t>
  </si>
  <si>
    <t xml:space="preserve"> duplex auto</t>
  </si>
  <si>
    <t xml:space="preserve"> speed auto</t>
  </si>
  <si>
    <t>interface Ethernet0/1</t>
  </si>
  <si>
    <t xml:space="preserve"> description ESS-3300 Gigabit 1/3</t>
  </si>
  <si>
    <t xml:space="preserve"> description IDirect</t>
  </si>
  <si>
    <t xml:space="preserve"> ip vrf forwarding WGS</t>
  </si>
  <si>
    <t xml:space="preserve"> ip access-group PROTECT-IN in</t>
  </si>
  <si>
    <t xml:space="preserve"> description Cable Links</t>
  </si>
  <si>
    <t>interface Ethernet0/2</t>
  </si>
  <si>
    <t xml:space="preserve"> description vASA</t>
  </si>
  <si>
    <t xml:space="preserve"> ip vrf forwarding COMM</t>
  </si>
  <si>
    <t>interface Ethernet0/3</t>
  </si>
  <si>
    <t xml:space="preserve"> Shutdown</t>
  </si>
  <si>
    <t>interface Virtual-Template1 type tunnel</t>
  </si>
  <si>
    <t>interface Virtual-Template2 type tunnel</t>
  </si>
  <si>
    <t>router ospf 100</t>
  </si>
  <si>
    <t xml:space="preserve"> passive-interface default</t>
  </si>
  <si>
    <t>ip forward-protocol nd</t>
  </si>
  <si>
    <t>ip pim send-rp-discovery Loopback0 scope 32</t>
  </si>
  <si>
    <t>no ip http server</t>
  </si>
  <si>
    <t>no ip http secure-server</t>
  </si>
  <si>
    <t>ip access-list standard SNMP_In</t>
  </si>
  <si>
    <t>ip access-list standard VTY_In</t>
  </si>
  <si>
    <t xml:space="preserve"> deny   any</t>
  </si>
  <si>
    <t>ip access-list extended PROTECT-IN</t>
  </si>
  <si>
    <t xml:space="preserve"> permit udp any any eq isakmp</t>
  </si>
  <si>
    <t xml:space="preserve"> permit udp any any eq non500-isakmp</t>
  </si>
  <si>
    <t xml:space="preserve"> permit esp any any</t>
  </si>
  <si>
    <t xml:space="preserve"> deny   ip any any log</t>
  </si>
  <si>
    <t>ipv6 ioam timestamp</t>
  </si>
  <si>
    <t>control-plane</t>
  </si>
  <si>
    <t>line con 0</t>
  </si>
  <si>
    <t xml:space="preserve"> logging synchronous</t>
  </si>
  <si>
    <t>line aux 0</t>
  </si>
  <si>
    <t>line vty 0 4</t>
  </si>
  <si>
    <t xml:space="preserve"> authorization exec Local_Auth</t>
  </si>
  <si>
    <t xml:space="preserve"> login authentication Local_Auth</t>
  </si>
  <si>
    <t xml:space="preserve"> transport input ssh</t>
  </si>
  <si>
    <t>line vty 5 15</t>
  </si>
  <si>
    <t>end</t>
  </si>
  <si>
    <t>Loopback 0</t>
  </si>
  <si>
    <t>General info</t>
  </si>
  <si>
    <t>Username</t>
  </si>
  <si>
    <t>Password</t>
  </si>
  <si>
    <t>Router Info</t>
  </si>
  <si>
    <t>Domain Name</t>
  </si>
  <si>
    <t>Chyper Text Interface IP</t>
  </si>
  <si>
    <t>Chyper Text Subnetmask</t>
  </si>
  <si>
    <t>Tunnel Info</t>
  </si>
  <si>
    <t>WAN Links</t>
  </si>
  <si>
    <t>WGS Interface IP</t>
  </si>
  <si>
    <t>WGS Modem IP</t>
  </si>
  <si>
    <t>Commercial Interface IP</t>
  </si>
  <si>
    <t>255.255.255.248</t>
  </si>
  <si>
    <t>255.255.255.192</t>
  </si>
  <si>
    <t>WGS Tunnel Info</t>
  </si>
  <si>
    <t>Tunnel Destination</t>
  </si>
  <si>
    <t>Tunnel Key</t>
  </si>
  <si>
    <t>NHRP Net ID</t>
  </si>
  <si>
    <t>Commercial Tunnel Info</t>
  </si>
  <si>
    <t>TNET.local</t>
  </si>
  <si>
    <t>172.16.1.253</t>
  </si>
  <si>
    <t>10.100.200.253</t>
  </si>
  <si>
    <t>Tunnel Number</t>
  </si>
  <si>
    <t>NTP Server</t>
  </si>
  <si>
    <t>WGS PSK</t>
  </si>
  <si>
    <t>Commercial PSK</t>
  </si>
  <si>
    <t>Key1</t>
  </si>
  <si>
    <t>Key2</t>
  </si>
  <si>
    <t xml:space="preserve"> tunnel source Ethernet0/1.20</t>
  </si>
  <si>
    <t>interface Ethernet0/1.20</t>
  </si>
  <si>
    <t xml:space="preserve"> encapsulation dot1Q 20</t>
  </si>
  <si>
    <t>interface Ethernet0/1.21</t>
  </si>
  <si>
    <t xml:space="preserve"> encapsulation dot1Q 21</t>
  </si>
  <si>
    <t xml:space="preserve"> ip address [TBD]</t>
  </si>
  <si>
    <t>Loopback 0 Subnetmask</t>
  </si>
  <si>
    <t>255.255.255.255</t>
  </si>
  <si>
    <t>Tunnel Subnet</t>
  </si>
  <si>
    <t>Tunnel Subnet Mask</t>
  </si>
  <si>
    <t>10.2.0.0</t>
  </si>
  <si>
    <t>255.255.0.0</t>
  </si>
  <si>
    <t>10.3.0.0</t>
  </si>
  <si>
    <t>Priviledge Level</t>
  </si>
  <si>
    <t>cisco</t>
  </si>
  <si>
    <t>WGS Interface Mask</t>
  </si>
  <si>
    <t>Commercial Interface Mask</t>
  </si>
  <si>
    <t>Firewall Info</t>
  </si>
  <si>
    <t>MGMT Interface IP</t>
  </si>
  <si>
    <t>MGMT Interface Mask</t>
  </si>
  <si>
    <t>Trusted Interface IP</t>
  </si>
  <si>
    <t>Trusted Interface Mask</t>
  </si>
  <si>
    <t>MGMT Network</t>
  </si>
  <si>
    <t>MGMT Subnetmask</t>
  </si>
  <si>
    <t>version 16.10</t>
  </si>
  <si>
    <t>no service pad</t>
  </si>
  <si>
    <t>no platform punt-keepalive disable-kernel-core</t>
  </si>
  <si>
    <t>no platform punt-keepalive settings</t>
  </si>
  <si>
    <t>no platform bridge-security all</t>
  </si>
  <si>
    <t xml:space="preserve">ptp mode e2etransparent </t>
  </si>
  <si>
    <t>vtp mode transparent</t>
  </si>
  <si>
    <t>ip arp entry learn 1000</t>
  </si>
  <si>
    <t>login on-success log</t>
  </si>
  <si>
    <t>no device-tracking logging theft</t>
  </si>
  <si>
    <t>crypto pki trustpoint TP-self-signed-2937843698</t>
  </si>
  <si>
    <t xml:space="preserve"> enrollment selfsigned</t>
  </si>
  <si>
    <t xml:space="preserve"> subject-name cn=IOS-Self-Signed-Certificate-2937843698</t>
  </si>
  <si>
    <t xml:space="preserve"> revocation-check none</t>
  </si>
  <si>
    <t xml:space="preserve"> rsakeypair TP-self-signed-2937843698</t>
  </si>
  <si>
    <t>crypto pki certificate chain TP-self-signed-2937843698</t>
  </si>
  <si>
    <t xml:space="preserve"> certificate self-signed 01 nvram:IOS-Self-Sig#3.cer</t>
  </si>
  <si>
    <t>diagnostic bootup level minimal</t>
  </si>
  <si>
    <t>license udi pid ESS-3300-NCP sn FJZ22350V1P</t>
  </si>
  <si>
    <t>spanning-tree mode rapid-pvst</t>
  </si>
  <si>
    <t>spanning-tree extend system-id</t>
  </si>
  <si>
    <t>alarm-profile defaultPort</t>
  </si>
  <si>
    <t xml:space="preserve"> alarm not-operating </t>
  </si>
  <si>
    <t xml:space="preserve"> syslog not-operating </t>
  </si>
  <si>
    <t xml:space="preserve"> notifies not-operating </t>
  </si>
  <si>
    <t>alarm facility power-supply syslog</t>
  </si>
  <si>
    <t xml:space="preserve">alarm facility temperature primary relay major </t>
  </si>
  <si>
    <t xml:space="preserve">alarm facility temperature primary syslog </t>
  </si>
  <si>
    <t xml:space="preserve">alarm facility temperature primary notifies </t>
  </si>
  <si>
    <t>transceiver type all</t>
  </si>
  <si>
    <t xml:space="preserve"> monitoring</t>
  </si>
  <si>
    <t>vlan 23</t>
  </si>
  <si>
    <t xml:space="preserve"> name Management</t>
  </si>
  <si>
    <t>vlan 30</t>
  </si>
  <si>
    <t xml:space="preserve"> name FDMA</t>
  </si>
  <si>
    <t>vlan 31</t>
  </si>
  <si>
    <t xml:space="preserve"> name WGS</t>
  </si>
  <si>
    <t>vlan 32</t>
  </si>
  <si>
    <t xml:space="preserve"> name LOS</t>
  </si>
  <si>
    <t>vlan 33</t>
  </si>
  <si>
    <t xml:space="preserve"> name Fiber</t>
  </si>
  <si>
    <t>vlan 35</t>
  </si>
  <si>
    <t xml:space="preserve"> name CT_Interfaces</t>
  </si>
  <si>
    <t>interface TenGigabitEthernet1/1</t>
  </si>
  <si>
    <t xml:space="preserve"> description Fiber_Distribution</t>
  </si>
  <si>
    <t xml:space="preserve"> switchport mode trunk</t>
  </si>
  <si>
    <t>interface TenGigabitEthernet1/2</t>
  </si>
  <si>
    <t>interface GigabitEthernet1/3</t>
  </si>
  <si>
    <t xml:space="preserve"> description Secure_Encalve</t>
  </si>
  <si>
    <t xml:space="preserve"> switchport access vlan 35</t>
  </si>
  <si>
    <t xml:space="preserve"> switchport mode access</t>
  </si>
  <si>
    <t xml:space="preserve"> spanning-tree portfast</t>
  </si>
  <si>
    <t>interface GigabitEthernet1/4</t>
  </si>
  <si>
    <t xml:space="preserve"> description Restricted_Encalve</t>
  </si>
  <si>
    <t>interface GigabitEthernet1/5</t>
  </si>
  <si>
    <t xml:space="preserve"> description LOS</t>
  </si>
  <si>
    <t xml:space="preserve"> switchport access vlan 32</t>
  </si>
  <si>
    <t>interface GigabitEthernet1/6</t>
  </si>
  <si>
    <t>interface GigabitEthernet1/7</t>
  </si>
  <si>
    <t>interface GigabitEthernet1/8</t>
  </si>
  <si>
    <t>interface GigabitEthernet1/9</t>
  </si>
  <si>
    <t xml:space="preserve"> description WGS</t>
  </si>
  <si>
    <t xml:space="preserve"> switchport access vlan 31</t>
  </si>
  <si>
    <t>interface GigabitEthernet1/10</t>
  </si>
  <si>
    <t xml:space="preserve"> description CT_Interfaces </t>
  </si>
  <si>
    <t xml:space="preserve"> spanning-tree portfast trunk</t>
  </si>
  <si>
    <t>interface Vlan1</t>
  </si>
  <si>
    <t>interface Vlan23</t>
  </si>
  <si>
    <t xml:space="preserve"> description Management</t>
  </si>
  <si>
    <t>ip http server</t>
  </si>
  <si>
    <t>ip http authentication local</t>
  </si>
  <si>
    <t>ip http secure-server</t>
  </si>
  <si>
    <t>ip ssh time-out 60</t>
  </si>
  <si>
    <t>ip ssh source-interface Vlan23</t>
  </si>
  <si>
    <t>ip ssh version 2</t>
  </si>
  <si>
    <t>ip access-list standard SNMP_Access</t>
  </si>
  <si>
    <t xml:space="preserve"> remark ACL for SNMP Users</t>
  </si>
  <si>
    <t>ip access-list standard VTY_Access</t>
  </si>
  <si>
    <t xml:space="preserve"> remark ACL for VTY Users</t>
  </si>
  <si>
    <t>logging source-interface Vlan23</t>
  </si>
  <si>
    <t>snmp-server group Network-Management v3 auth access SNMP_Access</t>
  </si>
  <si>
    <t>snmp-server trap-source Vlan23</t>
  </si>
  <si>
    <t>snmp-server source-interface informs Vlan23</t>
  </si>
  <si>
    <t>snmp ifmib ifindex persist</t>
  </si>
  <si>
    <t>banner motd _x0003_</t>
  </si>
  <si>
    <t>Config Version 1.3</t>
  </si>
  <si>
    <t>_x0003_</t>
  </si>
  <si>
    <t xml:space="preserve"> stopbits 1</t>
  </si>
  <si>
    <t xml:space="preserve"> access-class VTY_Access in</t>
  </si>
  <si>
    <t>ntp source Vlan23</t>
  </si>
  <si>
    <t>mac address-table notification mac-move</t>
  </si>
  <si>
    <t>Switch Info</t>
  </si>
  <si>
    <t>VTP Domain</t>
  </si>
  <si>
    <t>IP Default Gateway</t>
  </si>
  <si>
    <t>Enable Secret</t>
  </si>
  <si>
    <t>Logging Host</t>
  </si>
  <si>
    <t>NZDF</t>
  </si>
  <si>
    <t xml:space="preserve">ASA Version 9.12(1) </t>
  </si>
  <si>
    <t>names</t>
  </si>
  <si>
    <t>no mac-address auto</t>
  </si>
  <si>
    <t>interface GigabitEthernet0/0</t>
  </si>
  <si>
    <t xml:space="preserve"> nameif Untrusted</t>
  </si>
  <si>
    <t xml:space="preserve"> security-level 0</t>
  </si>
  <si>
    <t xml:space="preserve"> ip address 192.168.50.254 255.255.255.0 </t>
  </si>
  <si>
    <t xml:space="preserve"> ospf priority 0</t>
  </si>
  <si>
    <t xml:space="preserve"> ospf network point-to-point non-broadcast</t>
  </si>
  <si>
    <t>interface GigabitEthernet0/1</t>
  </si>
  <si>
    <t xml:space="preserve"> nameif Trusted</t>
  </si>
  <si>
    <t xml:space="preserve"> security-level 100</t>
  </si>
  <si>
    <t xml:space="preserve"> ospf cost 10</t>
  </si>
  <si>
    <t>interface GigabitEthernet0/2</t>
  </si>
  <si>
    <t>interface GigabitEthernet0/3</t>
  </si>
  <si>
    <t xml:space="preserve"> no nameif</t>
  </si>
  <si>
    <t xml:space="preserve"> no security-level</t>
  </si>
  <si>
    <t>interface GigabitEthernet0/4</t>
  </si>
  <si>
    <t>interface GigabitEthernet0/5</t>
  </si>
  <si>
    <t>interface GigabitEthernet0/6</t>
  </si>
  <si>
    <t>interface GigabitEthernet0/7</t>
  </si>
  <si>
    <t>interface GigabitEthernet0/8</t>
  </si>
  <si>
    <t>interface Management0/0</t>
  </si>
  <si>
    <t xml:space="preserve"> nameif management</t>
  </si>
  <si>
    <t>banner exec Config Version 1.3</t>
  </si>
  <si>
    <t>banner login Config Version 1.3</t>
  </si>
  <si>
    <t>banner motd Config Version 1.3</t>
  </si>
  <si>
    <t>banner asdm Config Version 1.3</t>
  </si>
  <si>
    <t>ftp mode passive</t>
  </si>
  <si>
    <t>same-security-traffic permit inter-interface</t>
  </si>
  <si>
    <t>object service IKEv2-UDP-500</t>
  </si>
  <si>
    <t xml:space="preserve"> service udp destination eq isakmp </t>
  </si>
  <si>
    <t>object service IKEv2-UDP-4500</t>
  </si>
  <si>
    <t xml:space="preserve"> service udp destination eq 4500 </t>
  </si>
  <si>
    <t>object-group service IKEv2</t>
  </si>
  <si>
    <t xml:space="preserve"> description IKEv2 Ports</t>
  </si>
  <si>
    <t xml:space="preserve"> service-object object IKEv2-UDP-4500 </t>
  </si>
  <si>
    <t xml:space="preserve"> service-object object IKEv2-UDP-500 </t>
  </si>
  <si>
    <t>object-group service DM_INLINE_SERVICE_1</t>
  </si>
  <si>
    <t xml:space="preserve"> service-object esp </t>
  </si>
  <si>
    <t xml:space="preserve"> service-object ah </t>
  </si>
  <si>
    <t>object-group service DM_INLINE_SERVICE_2</t>
  </si>
  <si>
    <t xml:space="preserve">access-list Untrusted_access_in extended permit object-group DM_INLINE_SERVICE_2 interface Untrusted interface Trusted </t>
  </si>
  <si>
    <t xml:space="preserve">access-list Untrusted_access_in extended deny ip interface Untrusted interface Trusted </t>
  </si>
  <si>
    <t xml:space="preserve">access-list Trusted_access_in extended permit object-group DM_INLINE_SERVICE_1 interface Trusted interface Untrusted </t>
  </si>
  <si>
    <t xml:space="preserve">access-list Trusted_access_in extended deny ip interface Trusted any </t>
  </si>
  <si>
    <t>pager lines 23</t>
  </si>
  <si>
    <t>logging enable</t>
  </si>
  <si>
    <t>logging asdm informational</t>
  </si>
  <si>
    <t>mtu Untrusted 1500</t>
  </si>
  <si>
    <t>mtu Trusted 1500</t>
  </si>
  <si>
    <t>mtu management 1500</t>
  </si>
  <si>
    <t>mtu Internet_Users 1500</t>
  </si>
  <si>
    <t>no failover</t>
  </si>
  <si>
    <t xml:space="preserve">no monitor-interface service-module </t>
  </si>
  <si>
    <t>icmp unreachable rate-limit 1 burst-size 1</t>
  </si>
  <si>
    <t>no asdm history enable</t>
  </si>
  <si>
    <t>arp timeout 14400</t>
  </si>
  <si>
    <t>no arp permit-nonconnected</t>
  </si>
  <si>
    <t>arp rate-limit 8192</t>
  </si>
  <si>
    <t>access-group Untrusted_access_in in interface Untrusted</t>
  </si>
  <si>
    <t>access-group Trusted_access_in in interface Trusted</t>
  </si>
  <si>
    <t xml:space="preserve"> router-id 172.30.2.189</t>
  </si>
  <si>
    <t xml:space="preserve"> network 172.30.2.189 255.255.255.255 area 1</t>
  </si>
  <si>
    <t xml:space="preserve"> area 1</t>
  </si>
  <si>
    <t xml:space="preserve"> log-adj-changes</t>
  </si>
  <si>
    <t>route Untrusted 0.0.0.0 0.0.0.0 192.168.51.1 1</t>
  </si>
  <si>
    <t>timeout xlate 3:00:00</t>
  </si>
  <si>
    <t>timeout pat-xlate 0:00:30</t>
  </si>
  <si>
    <t>timeout conn 1:00:00 half-closed 0:10:00 udp 0:02:00 sctp 0:02:00 icmp 0:00:02</t>
  </si>
  <si>
    <t>timeout sunrpc 0:10:00 h323 0:05:00 h225 1:00:00 mgcp 0:05:00 mgcp-pat 0:05:00</t>
  </si>
  <si>
    <t>timeout sip 0:30:00 sip_media 0:02:00 sip-invite 0:03:00 sip-disconnect 0:02:00</t>
  </si>
  <si>
    <t>timeout sip-provisional-media 0:02:00 uauth 0:05:00 absolute</t>
  </si>
  <si>
    <t>timeout tcp-proxy-reassembly 0:01:00</t>
  </si>
  <si>
    <t>timeout floating-conn 0:00:00</t>
  </si>
  <si>
    <t>timeout conn-holddown 0:00:15</t>
  </si>
  <si>
    <t>timeout igp stale-route 0:01:10</t>
  </si>
  <si>
    <t>user-identity default-domain LOCAL</t>
  </si>
  <si>
    <t>aaa authentication login-history</t>
  </si>
  <si>
    <t>http server enable</t>
  </si>
  <si>
    <t>no snmp-server location</t>
  </si>
  <si>
    <t>no snmp-server contact</t>
  </si>
  <si>
    <t>crypto ipsec security-association pmtu-aging infinite</t>
  </si>
  <si>
    <t>crypto ca trustpoint _SmartCallHome_ServerCA</t>
  </si>
  <si>
    <t xml:space="preserve"> no validation-usage</t>
  </si>
  <si>
    <t xml:space="preserve"> crl configure</t>
  </si>
  <si>
    <t>crypto ca trustpool policy</t>
  </si>
  <si>
    <t xml:space="preserve"> auto-import</t>
  </si>
  <si>
    <t>crypto ca certificate chain _SmartCallHome_ServerCA</t>
  </si>
  <si>
    <t xml:space="preserve"> certificate ca 0509</t>
  </si>
  <si>
    <t xml:space="preserve">    308205b7 3082039f a0030201 02020205 09300d06 092a8648 86f70d01 01050500 </t>
  </si>
  <si>
    <t xml:space="preserve">    3045310b 30090603 55040613 02424d31 19301706 0355040a 13105175 6f566164 </t>
  </si>
  <si>
    <t xml:space="preserve">    6973204c 696d6974 6564311b 30190603 55040313 1251756f 56616469 7320526f </t>
  </si>
  <si>
    <t xml:space="preserve">    6f742043 41203230 1e170d30 36313132 34313832 3730305a 170d3331 31313234 </t>
  </si>
  <si>
    <t xml:space="preserve">    31383233 33335a30 45310b30 09060355 04061302 424d3119 30170603 55040a13 </t>
  </si>
  <si>
    <t xml:space="preserve">    1051756f 56616469 73204c69 6d697465 64311b30 19060355 04031312 51756f56 </t>
  </si>
  <si>
    <t xml:space="preserve">    61646973 20526f6f 74204341 20323082 0222300d 06092a86 4886f70d 01010105 </t>
  </si>
  <si>
    <t xml:space="preserve">    00038202 0f003082 020a0282 0201009a 18ca4b94 0d002daf 03298af0 0f81c8ae </t>
  </si>
  <si>
    <t xml:space="preserve">    4c19851d 089fab29 4485f32f 81ad321e 9046bfa3 86261a1e fe7e1c18 3a5c9c60 </t>
  </si>
  <si>
    <t xml:space="preserve">    172a3a74 8333307d 615411cb edabe0e6 d2a27ef5 6b6f18b7 0a0b2dfd e93eef0a </t>
  </si>
  <si>
    <t xml:space="preserve">    c6b310e9 dcc24617 f85dfda4 daff9e49 5a9ce633 e62496f7 3fba5b2b 1c7a35c2 </t>
  </si>
  <si>
    <t xml:space="preserve">    d667feab 66508b6d 28602bef d760c3c7 93bc8d36 91f37ff8 db1113c4 9c7776c1 </t>
  </si>
  <si>
    <t xml:space="preserve">    aeb7026a 817aa945 83e205e6 b956c194 378f4871 6322ec17 6507958a 4bdf8fc6 </t>
  </si>
  <si>
    <t xml:space="preserve">    5a0ae5b0 e35f5e6b 11ab0cf9 85eb44e9 f80473f2 e9fe5c98 8cf573af 6bb47ecd </t>
  </si>
  <si>
    <t xml:space="preserve">    d45c022b 4c39e1b2 95952d42 87d7d5b3 9043b76c 13f1dedd f6c4f889 3fd175f5 </t>
  </si>
  <si>
    <t xml:space="preserve">    92c391d5 8a88d090 ecdc6dde 89c26571 968b0d03 fd9cbf5b 16ac92db eafe797c </t>
  </si>
  <si>
    <t xml:space="preserve">    adebaff7 16cbdbcd 252be51f fb9a9fe2 51cc3a53 0c48e60e bdc9b476 0652e611 </t>
  </si>
  <si>
    <t xml:space="preserve">    13857263 0304e004 362b2019 02e874a7 1fb6c956 66f07525 dc67c10e 616088b3 </t>
  </si>
  <si>
    <t xml:space="preserve">    3ed1a8fc a3da1db0 d1b12354 df44766d ed41d8c1 b222b653 1cdf351d dca1772a </t>
  </si>
  <si>
    <t xml:space="preserve">    31e42df5 e5e5dbc8 e0ffe580 d70b63a0 ff33a10f ba2c1515 ea97b3d2 a2b5bef2 </t>
  </si>
  <si>
    <t xml:space="preserve">    8c961e1a 8f1d6ca4 6137b986 7333d797 969e237d 82a44c81 e2a1d1ba 675f9507 </t>
  </si>
  <si>
    <t xml:space="preserve">    a32711ee 16107bbc 454a4cb2 04d2abef d5fd0c51 ce506a08 31f991da 0c8f645c </t>
  </si>
  <si>
    <t xml:space="preserve">    03c33a8b 203f6e8d 673d3ad6 fe7d5b88 c95efbcc 61dc8b33 77d34432 35096204 </t>
  </si>
  <si>
    <t xml:space="preserve">    921610d8 9e2747fb 3b21e3f8 eb1d5b02 03010001 a381b030 81ad300f 0603551d </t>
  </si>
  <si>
    <t xml:space="preserve">    130101ff 04053003 0101ff30 0b060355 1d0f0404 03020106 301d0603 551d0e04 </t>
  </si>
  <si>
    <t xml:space="preserve">    1604141a 8462bc48 4c332504 d4eed0f6 03c41946 d1946b30 6e060355 1d230467 </t>
  </si>
  <si>
    <t xml:space="preserve">    30658014 1a8462bc 484c3325 04d4eed0 f603c419 46d1946b a149a447 3045310b </t>
  </si>
  <si>
    <t xml:space="preserve">    30090603 55040613 02424d31 19301706 0355040a 13105175 6f566164 6973204c </t>
  </si>
  <si>
    <t xml:space="preserve">    696d6974 6564311b 30190603 55040313 1251756f 56616469 7320526f 6f742043 </t>
  </si>
  <si>
    <t xml:space="preserve">    41203282 02050930 0d06092a 864886f7 0d010105 05000382 0201003e 0a164d9f </t>
  </si>
  <si>
    <t xml:space="preserve">    065ba8ae 715d2f05 2f67e613 4583c436 f6f3c026 0c0db547 645df8b4 72c946a5 </t>
  </si>
  <si>
    <t xml:space="preserve">    03182755 89787d76 ea963480 1720dce7 83f88dfc 07b8da5f 4d2e67b2 84fdd944 </t>
  </si>
  <si>
    <t xml:space="preserve">    fc775081 e67cb4c9 0d0b7253 f8760707 4147960c fbe08226 93558cfe 221f6065 </t>
  </si>
  <si>
    <t xml:space="preserve">    7c5fe726 b3f73290 9850d437 7155f692 2178f795 79faf82d 26876656 3077a637 </t>
  </si>
  <si>
    <t xml:space="preserve">    78335210 58ae3f61 8ef26ab1 ef187e4a 5963ca8d a256d5a7 2fbc561f cf39c1e2 </t>
  </si>
  <si>
    <t xml:space="preserve">    fb0aa815 2c7d4d7a 63c66c97 443cd26f c34a170a f890d257 a21951a5 2d9741da </t>
  </si>
  <si>
    <t xml:space="preserve">    074fa950 da908d94 46e13ef0 94fd1000 38f53be8 40e1b46e 561a20cc 6f588ded </t>
  </si>
  <si>
    <t xml:space="preserve">    2e458fd6 e9933fe7 b12cdf3a d6228cdc 84bb226f d0f8e4c6 39e90488 3cc3baeb </t>
  </si>
  <si>
    <t xml:space="preserve">    557a6d80 9924f56c 01fbf897 b0945beb fdd26ff1 77680d35 6423acb8 55a103d1 </t>
  </si>
  <si>
    <t xml:space="preserve">    4d4219dc f8755956 a3f9a849 79f8af0e b911a07c b76aed34 d0b62662 381a870c </t>
  </si>
  <si>
    <t xml:space="preserve">    f8e8fd2e d3907f07 912a1dd6 7e5c8583 99b03808 3fe95ef9 3507e4c9 626e577f </t>
  </si>
  <si>
    <t xml:space="preserve">    a75095f7 bac89be6 8ea201c5 d666bf79 61f33c1c e1b9825c 5da0c3e9 d848bd19 </t>
  </si>
  <si>
    <t xml:space="preserve">    a2111419 6eb2861b 683e4837 1a88b75d 965e9cc7 ef276208 e291195c d2f121dd </t>
  </si>
  <si>
    <t xml:space="preserve">    ba174282 97718153 31a99ff6 7d62bf72 e1a3931d cc8a265a 0938d0ce d70d8016 </t>
  </si>
  <si>
    <t xml:space="preserve">    b478a53a 874c8d8a a5d54697 f22c10b9 bc5422c0 01506943 9ef4b2ef 6df8ecda </t>
  </si>
  <si>
    <t xml:space="preserve">    f1e3b1ef df918f54 2a0b25c1 2619c452 100565d5 8210eac2 31cd2e</t>
  </si>
  <si>
    <t xml:space="preserve">  quit</t>
  </si>
  <si>
    <t>telnet timeout 5</t>
  </si>
  <si>
    <t>ssh stricthostkeycheck</t>
  </si>
  <si>
    <t>ssh timeout 5</t>
  </si>
  <si>
    <t>console timeout 0</t>
  </si>
  <si>
    <t>threat-detection basic-threat</t>
  </si>
  <si>
    <t>threat-detection statistics access-list</t>
  </si>
  <si>
    <t>no threat-detection statistics tcp-intercept</t>
  </si>
  <si>
    <t>dynamic-access-policy-record DfltAccessPolicy</t>
  </si>
  <si>
    <t>class-map inspection_default</t>
  </si>
  <si>
    <t xml:space="preserve"> match default-inspection-traffic</t>
  </si>
  <si>
    <t>policy-map type inspect dns migrated_dns_map_1</t>
  </si>
  <si>
    <t xml:space="preserve"> parameters</t>
  </si>
  <si>
    <t xml:space="preserve">  message-length maximum client auto</t>
  </si>
  <si>
    <t xml:space="preserve">  message-length maximum 512</t>
  </si>
  <si>
    <t xml:space="preserve">  no tcp-inspection</t>
  </si>
  <si>
    <t>policy-map global_policy</t>
  </si>
  <si>
    <t xml:space="preserve"> class inspection_default</t>
  </si>
  <si>
    <t xml:space="preserve">  inspect dns migrated_dns_map_1 </t>
  </si>
  <si>
    <t xml:space="preserve">  inspect ftp </t>
  </si>
  <si>
    <t xml:space="preserve">  inspect h323 h225 </t>
  </si>
  <si>
    <t xml:space="preserve">  inspect h323 ras </t>
  </si>
  <si>
    <t xml:space="preserve">  inspect ip-options </t>
  </si>
  <si>
    <t xml:space="preserve">  inspect netbios </t>
  </si>
  <si>
    <t xml:space="preserve">  inspect rsh </t>
  </si>
  <si>
    <t xml:space="preserve">  inspect rtsp </t>
  </si>
  <si>
    <t xml:space="preserve">  inspect skinny  </t>
  </si>
  <si>
    <t xml:space="preserve">  inspect esmtp </t>
  </si>
  <si>
    <t xml:space="preserve">  inspect sqlnet </t>
  </si>
  <si>
    <t xml:space="preserve">  inspect sunrpc </t>
  </si>
  <si>
    <t xml:space="preserve">  inspect tftp </t>
  </si>
  <si>
    <t xml:space="preserve">  inspect sip  </t>
  </si>
  <si>
    <t xml:space="preserve">  inspect xdmcp </t>
  </si>
  <si>
    <t>policy-map type inspect dns migrated_dns_map_2</t>
  </si>
  <si>
    <t>service-policy global_policy global</t>
  </si>
  <si>
    <t xml:space="preserve">prompt hostname context </t>
  </si>
  <si>
    <t>no call-home reporting anonymous</t>
  </si>
  <si>
    <t xml:space="preserve"> profile CiscoTAC-1</t>
  </si>
  <si>
    <t xml:space="preserve">  no active</t>
  </si>
  <si>
    <t xml:space="preserve">  destination address http https://tools.cisco.com/its/service/oddce/services/DDCEService</t>
  </si>
  <si>
    <t xml:space="preserve">  destination address email callhome@cisco.com</t>
  </si>
  <si>
    <t xml:space="preserve">  subscribe-to-alert-group diagnostic</t>
  </si>
  <si>
    <t xml:space="preserve">  subscribe-to-alert-group environment</t>
  </si>
  <si>
    <t xml:space="preserve">  subscribe-to-alert-group inventory periodic monthly</t>
  </si>
  <si>
    <t xml:space="preserve">  subscribe-to-alert-group configuration periodic monthly</t>
  </si>
  <si>
    <t xml:space="preserve">  subscribe-to-alert-group telemetry periodic daily</t>
  </si>
  <si>
    <t xml:space="preserve"> profile License</t>
  </si>
  <si>
    <t>Cryptochecksum:00c01323e043693f78ed51adf6df84b4</t>
  </si>
  <si>
    <t>: end</t>
  </si>
  <si>
    <t>Subnet Information</t>
  </si>
  <si>
    <t>FCAN Transport Subnet</t>
  </si>
  <si>
    <t>FCAN Restricted Subnet</t>
  </si>
  <si>
    <t>FCAN Unclassified Subnet</t>
  </si>
  <si>
    <t>FCAN Secure Subnet</t>
  </si>
  <si>
    <t>UCAN Transport Subnet</t>
  </si>
  <si>
    <t>UCAN Restricted Subnet</t>
  </si>
  <si>
    <t>UCAN Unclassified Subnet</t>
  </si>
  <si>
    <t>UCAN Secure Subnet</t>
  </si>
  <si>
    <t>MCAN Transport Subnet</t>
  </si>
  <si>
    <t>MCAN Restricted Subnet</t>
  </si>
  <si>
    <t>MCAN Unclassified Subnet</t>
  </si>
  <si>
    <t>MCAN Secure Subnet</t>
  </si>
  <si>
    <t>172.16.1.0</t>
  </si>
  <si>
    <t>FCAN Transport Information</t>
  </si>
  <si>
    <t>UCAN Transport Information</t>
  </si>
  <si>
    <t>FCAN Restricted Information</t>
  </si>
  <si>
    <t>FCAN Unclassified Information</t>
  </si>
  <si>
    <t>FCAN Secure Information</t>
  </si>
  <si>
    <t>UCAN Restricted Information</t>
  </si>
  <si>
    <t>UCAN Unclassified Information</t>
  </si>
  <si>
    <t>UCAN Secure Information</t>
  </si>
  <si>
    <t>NodeNumber</t>
  </si>
  <si>
    <t>interface Ethernet0/1.23</t>
  </si>
  <si>
    <t xml:space="preserve"> encapsulation dot1Q 23</t>
  </si>
  <si>
    <t xml:space="preserve"> encapsulation dot1Q 25</t>
  </si>
  <si>
    <t xml:space="preserve"> description CT Interfaces</t>
  </si>
  <si>
    <t>interface Ethernet0/1.31</t>
  </si>
  <si>
    <t>interface Ethernet0/1.32</t>
  </si>
  <si>
    <t xml:space="preserve"> encapsulation dot1Q 31</t>
  </si>
  <si>
    <t xml:space="preserve"> encapsulation dot1Q 32</t>
  </si>
  <si>
    <t>interface Ethernet0/1.35</t>
  </si>
  <si>
    <t xml:space="preserve"> description LOS Links</t>
  </si>
  <si>
    <t>interface Ethernet0/1.33</t>
  </si>
  <si>
    <t xml:space="preserve"> encapsulation dot1Q 33</t>
  </si>
  <si>
    <t xml:space="preserve"> description Fiber Links</t>
  </si>
  <si>
    <t>interface Ethernet0/1.30</t>
  </si>
  <si>
    <t xml:space="preserve"> encapsulation dot1Q 30</t>
  </si>
  <si>
    <t>TBD</t>
  </si>
  <si>
    <t xml:space="preserve"> description FDMA</t>
  </si>
  <si>
    <t>Restricted Tunnel Info</t>
  </si>
  <si>
    <t>Secure Tunnel Info</t>
  </si>
  <si>
    <t>172.17.1.0</t>
  </si>
  <si>
    <t>172.18.1.0</t>
  </si>
  <si>
    <t>Data</t>
  </si>
  <si>
    <t>Applications</t>
  </si>
  <si>
    <t>Services</t>
  </si>
  <si>
    <t>IA</t>
  </si>
  <si>
    <t>External</t>
  </si>
  <si>
    <t>WAN Accelerator</t>
  </si>
  <si>
    <t>10.100.0.0</t>
  </si>
  <si>
    <t>Plain Text Interface IP</t>
  </si>
  <si>
    <t>Plain Text Subnetmask</t>
  </si>
  <si>
    <t>Data Subnets Gateways</t>
  </si>
  <si>
    <t>255.255.255.0</t>
  </si>
  <si>
    <t>Data Subnetmask</t>
  </si>
  <si>
    <t>Applications Subnetmask</t>
  </si>
  <si>
    <t>Services Subnetmask</t>
  </si>
  <si>
    <t>IA Subnetmask</t>
  </si>
  <si>
    <t>External Subnetmask</t>
  </si>
  <si>
    <t>Wan Accelerator Subnetmask</t>
  </si>
  <si>
    <t>255.255.255.224</t>
  </si>
  <si>
    <t>255.255.255.252</t>
  </si>
  <si>
    <t>Data Subnets Gateway</t>
  </si>
  <si>
    <t>Data Subnettmask</t>
  </si>
  <si>
    <t>255.255.255.128</t>
  </si>
  <si>
    <t>192.168.1.0</t>
  </si>
  <si>
    <t>192.168.2.0</t>
  </si>
  <si>
    <t>172.16.2.0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</si>
</sst>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thin">
        <color auto="1"/>
      </top>
      <bottom style="double">
        <color rgb="FF3F3F3F"/>
      </bottom>
      <diagonal/>
    </border>
    <border>
      <left/>
      <right style="double">
        <color rgb="FF3F3F3F"/>
      </right>
      <top style="thin">
        <color auto="1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1" fillId="2" borderId="1" applyNumberFormat="0" applyFont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</cellStyleXfs>
  <cellXfs count="46">
    <xf numFmtId="0" fontId="0" fillId="0" borderId="0" xfId="0"/>
    <xf numFmtId="0" fontId="0" fillId="2" borderId="1" xfId="1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3" xfId="0" applyBorder="1" applyAlignment="1" applyProtection="1">
      <alignment horizontal="left"/>
      <protection hidden="1"/>
    </xf>
    <xf numFmtId="0" fontId="0" fillId="0" borderId="3" xfId="0" applyBorder="1" applyAlignment="1" applyProtection="1">
      <alignment horizontal="left" wrapText="1"/>
      <protection hidden="1"/>
    </xf>
    <xf numFmtId="0" fontId="0" fillId="0" borderId="3" xfId="0" applyBorder="1" applyAlignment="1" applyProtection="1">
      <alignment horizontal="center"/>
      <protection hidden="1"/>
    </xf>
    <xf numFmtId="0" fontId="6" fillId="3" borderId="3" xfId="2" applyFont="1" applyBorder="1" applyAlignment="1" applyProtection="1">
      <alignment horizontal="center"/>
      <protection locked="0"/>
    </xf>
    <xf numFmtId="0" fontId="6" fillId="4" borderId="3" xfId="3" applyFont="1" applyBorder="1" applyAlignment="1" applyProtection="1">
      <alignment horizontal="center"/>
      <protection hidden="1"/>
    </xf>
    <xf numFmtId="0" fontId="0" fillId="0" borderId="4" xfId="0" applyBorder="1" applyAlignment="1">
      <alignment horizontal="left"/>
    </xf>
    <xf numFmtId="0" fontId="6" fillId="2" borderId="1" xfId="1" applyFont="1"/>
    <xf numFmtId="0" fontId="0" fillId="0" borderId="2" xfId="0" applyBorder="1" applyAlignment="1" applyProtection="1">
      <alignment horizontal="left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" xfId="0" applyBorder="1" applyProtection="1">
      <protection hidden="1"/>
    </xf>
    <xf numFmtId="11" fontId="0" fillId="0" borderId="0" xfId="0" applyNumberFormat="1"/>
    <xf numFmtId="0" fontId="6" fillId="4" borderId="2" xfId="3" applyFont="1" applyBorder="1" applyAlignment="1" applyProtection="1">
      <alignment horizontal="center"/>
      <protection hidden="1"/>
    </xf>
    <xf numFmtId="0" fontId="0" fillId="0" borderId="6" xfId="0" applyBorder="1" applyAlignment="1">
      <alignment horizontal="center"/>
    </xf>
    <xf numFmtId="0" fontId="0" fillId="0" borderId="0" xfId="0" applyProtection="1">
      <protection locked="0"/>
    </xf>
    <xf numFmtId="0" fontId="1" fillId="4" borderId="3" xfId="3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left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left"/>
      <protection hidden="1"/>
    </xf>
    <xf numFmtId="0" fontId="0" fillId="0" borderId="6" xfId="0" applyBorder="1" applyAlignment="1" applyProtection="1">
      <alignment horizontal="center"/>
      <protection hidden="1"/>
    </xf>
    <xf numFmtId="0" fontId="4" fillId="5" borderId="2" xfId="4" applyBorder="1" applyAlignment="1" applyProtection="1">
      <alignment horizontal="center"/>
      <protection hidden="1"/>
    </xf>
    <xf numFmtId="0" fontId="4" fillId="5" borderId="5" xfId="4" applyBorder="1" applyAlignment="1" applyProtection="1">
      <alignment horizontal="center"/>
      <protection hidden="1"/>
    </xf>
    <xf numFmtId="0" fontId="7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4" fillId="5" borderId="2" xfId="4" applyAlignment="1">
      <alignment horizontal="center"/>
    </xf>
    <xf numFmtId="0" fontId="4" fillId="5" borderId="2" xfId="4" applyAlignment="1" applyProtection="1">
      <alignment horizontal="center"/>
      <protection hidden="1"/>
    </xf>
    <xf numFmtId="0" fontId="4" fillId="5" borderId="3" xfId="4" applyBorder="1" applyAlignment="1">
      <alignment horizontal="center"/>
    </xf>
    <xf numFmtId="0" fontId="7" fillId="0" borderId="0" xfId="0" applyFont="1" applyAlignment="1" applyProtection="1">
      <alignment horizontal="center" vertical="center"/>
      <protection hidden="1"/>
    </xf>
    <xf numFmtId="0" fontId="7" fillId="0" borderId="7" xfId="0" applyFont="1" applyBorder="1" applyAlignment="1" applyProtection="1">
      <alignment horizontal="center" vertical="center"/>
      <protection hidden="1"/>
    </xf>
    <xf numFmtId="0" fontId="4" fillId="5" borderId="8" xfId="4" applyBorder="1" applyAlignment="1" applyProtection="1">
      <alignment horizontal="center"/>
      <protection hidden="1"/>
    </xf>
    <xf numFmtId="0" fontId="4" fillId="5" borderId="9" xfId="4" applyBorder="1" applyAlignment="1" applyProtection="1">
      <alignment horizontal="center"/>
      <protection hidden="1"/>
    </xf>
    <xf numFmtId="0" fontId="4" fillId="5" borderId="10" xfId="4" applyBorder="1" applyAlignment="1" applyProtection="1">
      <alignment horizontal="center"/>
      <protection hidden="1"/>
    </xf>
    <xf numFmtId="0" fontId="4" fillId="5" borderId="11" xfId="4" applyBorder="1" applyAlignment="1" applyProtection="1">
      <alignment horizontal="center"/>
      <protection hidden="1"/>
    </xf>
    <xf numFmtId="0" fontId="5" fillId="0" borderId="3" xfId="0" applyFont="1" applyBorder="1" applyAlignment="1">
      <alignment horizontal="center"/>
    </xf>
    <xf numFmtId="0" fontId="4" fillId="5" borderId="12" xfId="4" applyBorder="1" applyAlignment="1">
      <alignment horizontal="center"/>
    </xf>
    <xf numFmtId="0" fontId="0" fillId="0" borderId="12" xfId="0" applyBorder="1" applyAlignment="1">
      <alignment horizontal="left"/>
    </xf>
    <xf numFmtId="0" fontId="6" fillId="3" borderId="12" xfId="2" applyFont="1" applyBorder="1" applyAlignment="1" applyProtection="1">
      <alignment horizontal="center"/>
      <protection locked="0"/>
    </xf>
    <xf numFmtId="0" fontId="6" fillId="3" borderId="12" xfId="2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5">
    <cellStyle name="Check Cell" xfId="4" builtinId="23"/>
    <cellStyle name="Good" xfId="2" builtinId="26"/>
    <cellStyle name="Neutral" xfId="3" builtinId="28"/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B5C73-DFEB-430F-807A-C2B402DF220C}">
  <sheetPr codeName="Sheet1">
    <tabColor rgb="FF00B050"/>
  </sheetPr>
  <dimension ref="A1:J86"/>
  <sheetViews>
    <sheetView workbookViewId="0">
      <selection activeCell="G2" sqref="G2"/>
    </sheetView>
  </sheetViews>
  <sheetFormatPr defaultColWidth="9" defaultRowHeight="14.25" x14ac:dyDescent="0.45"/>
  <cols>
    <col min="1" max="1" width="22.6640625" style="3" customWidth="1"/>
    <col min="2" max="2" width="36.796875" style="2" customWidth="1"/>
    <col min="3" max="3" width="7.6640625" style="2" customWidth="1"/>
    <col min="4" max="4" width="24" style="2" customWidth="1"/>
    <col min="5" max="5" width="36" style="2" customWidth="1"/>
    <col min="6" max="6" width="9" style="2"/>
    <col min="7" max="7" width="22" style="2" customWidth="1"/>
    <col min="8" max="8" width="44.796875" style="2" customWidth="1"/>
    <col min="9" max="9" width="9" style="2"/>
    <col min="10" max="10" width="23.46484375" style="2" customWidth="1"/>
    <col min="11" max="11" width="33.6640625" style="2" customWidth="1"/>
    <col min="12" max="16384" width="9" style="2"/>
  </cols>
  <sheetData>
    <row r="1" spans="1:5" x14ac:dyDescent="0.45">
      <c r="A1" s="32" t="s">
        <v>156</v>
      </c>
      <c r="B1" s="32"/>
      <c r="D1" s="40" t="s">
        <v>490</v>
      </c>
      <c r="E1" s="40"/>
    </row>
    <row r="2" spans="1:5" x14ac:dyDescent="0.45">
      <c r="A2" s="4" t="s">
        <v>512</v>
      </c>
      <c r="B2" s="10">
        <v>100</v>
      </c>
      <c r="D2" s="41" t="s">
        <v>491</v>
      </c>
      <c r="E2" s="42" t="s">
        <v>503</v>
      </c>
    </row>
    <row r="3" spans="1:5" x14ac:dyDescent="0.45">
      <c r="A3" s="4" t="s">
        <v>157</v>
      </c>
      <c r="B3" s="10" t="s">
        <v>198</v>
      </c>
      <c r="D3" s="41" t="s">
        <v>492</v>
      </c>
      <c r="E3" s="42" t="s">
        <v>556</v>
      </c>
    </row>
    <row r="4" spans="1:5" x14ac:dyDescent="0.45">
      <c r="A4" s="4" t="s">
        <v>197</v>
      </c>
      <c r="B4" s="10">
        <v>15</v>
      </c>
      <c r="D4" s="41" t="s">
        <v>493</v>
      </c>
      <c r="E4" s="42" t="s">
        <v>558</v>
      </c>
    </row>
    <row r="5" spans="1:5" x14ac:dyDescent="0.45">
      <c r="A5" s="4" t="s">
        <v>158</v>
      </c>
      <c r="B5" s="10" t="s">
        <v>198</v>
      </c>
      <c r="D5" s="41" t="s">
        <v>494</v>
      </c>
      <c r="E5" s="42" t="s">
        <v>540</v>
      </c>
    </row>
    <row r="6" spans="1:5" x14ac:dyDescent="0.45">
      <c r="A6" s="4" t="s">
        <v>302</v>
      </c>
      <c r="B6" s="10" t="s">
        <v>198</v>
      </c>
      <c r="D6" s="44"/>
      <c r="E6" s="45"/>
    </row>
    <row r="7" spans="1:5" x14ac:dyDescent="0.45">
      <c r="A7" s="4" t="s">
        <v>160</v>
      </c>
      <c r="B7" s="10" t="s">
        <v>175</v>
      </c>
      <c r="D7" s="41" t="s">
        <v>495</v>
      </c>
      <c r="E7" s="43" t="s">
        <v>532</v>
      </c>
    </row>
    <row r="8" spans="1:5" x14ac:dyDescent="0.45">
      <c r="A8" s="4" t="s">
        <v>300</v>
      </c>
      <c r="B8" s="10" t="s">
        <v>304</v>
      </c>
      <c r="D8" s="41" t="s">
        <v>496</v>
      </c>
      <c r="E8" s="43" t="s">
        <v>557</v>
      </c>
    </row>
    <row r="9" spans="1:5" x14ac:dyDescent="0.45">
      <c r="A9" s="4" t="s">
        <v>303</v>
      </c>
      <c r="B9" s="10" t="s">
        <v>0</v>
      </c>
      <c r="D9" s="41" t="s">
        <v>497</v>
      </c>
      <c r="E9" s="43"/>
    </row>
    <row r="10" spans="1:5" x14ac:dyDescent="0.45">
      <c r="A10" s="4" t="s">
        <v>179</v>
      </c>
      <c r="B10" s="10" t="s">
        <v>0</v>
      </c>
      <c r="D10" s="41" t="s">
        <v>498</v>
      </c>
      <c r="E10" s="43"/>
    </row>
    <row r="11" spans="1:5" x14ac:dyDescent="0.45">
      <c r="A11" s="5"/>
      <c r="B11" s="6"/>
      <c r="D11" s="44"/>
      <c r="E11" s="45"/>
    </row>
    <row r="12" spans="1:5" x14ac:dyDescent="0.45">
      <c r="D12" s="41" t="s">
        <v>499</v>
      </c>
      <c r="E12" s="42" t="s">
        <v>533</v>
      </c>
    </row>
    <row r="13" spans="1:5" x14ac:dyDescent="0.45">
      <c r="D13" s="41" t="s">
        <v>500</v>
      </c>
      <c r="E13" s="42"/>
    </row>
    <row r="14" spans="1:5" x14ac:dyDescent="0.45">
      <c r="D14" s="41" t="s">
        <v>501</v>
      </c>
      <c r="E14" s="42"/>
    </row>
    <row r="15" spans="1:5" x14ac:dyDescent="0.45">
      <c r="D15" s="41" t="s">
        <v>502</v>
      </c>
      <c r="E15" s="42"/>
    </row>
    <row r="19" spans="1:10" x14ac:dyDescent="0.45">
      <c r="A19" s="32" t="s">
        <v>163</v>
      </c>
      <c r="B19" s="32"/>
      <c r="D19" s="32" t="s">
        <v>163</v>
      </c>
      <c r="E19" s="32"/>
    </row>
    <row r="20" spans="1:10" x14ac:dyDescent="0.45">
      <c r="A20" s="39" t="s">
        <v>170</v>
      </c>
      <c r="B20" s="39"/>
      <c r="D20" s="39" t="s">
        <v>530</v>
      </c>
      <c r="E20" s="39"/>
    </row>
    <row r="21" spans="1:10" ht="14.25" customHeight="1" x14ac:dyDescent="0.45">
      <c r="A21" s="4" t="s">
        <v>178</v>
      </c>
      <c r="B21" s="10">
        <v>10</v>
      </c>
      <c r="D21" s="4" t="s">
        <v>178</v>
      </c>
      <c r="E21" s="10">
        <v>10</v>
      </c>
      <c r="G21" s="3"/>
      <c r="J21" s="3"/>
    </row>
    <row r="22" spans="1:10" ht="14.75" customHeight="1" x14ac:dyDescent="0.45">
      <c r="A22" s="4" t="s">
        <v>171</v>
      </c>
      <c r="B22" s="10" t="s">
        <v>176</v>
      </c>
      <c r="D22" s="4" t="s">
        <v>171</v>
      </c>
      <c r="E22" s="10" t="s">
        <v>176</v>
      </c>
      <c r="G22" s="3"/>
      <c r="J22" s="3"/>
    </row>
    <row r="23" spans="1:10" x14ac:dyDescent="0.45">
      <c r="A23" s="4" t="s">
        <v>172</v>
      </c>
      <c r="B23" s="10">
        <v>10</v>
      </c>
      <c r="D23" s="4" t="s">
        <v>172</v>
      </c>
      <c r="E23" s="10">
        <v>10</v>
      </c>
    </row>
    <row r="24" spans="1:10" x14ac:dyDescent="0.45">
      <c r="A24" s="4" t="s">
        <v>173</v>
      </c>
      <c r="B24" s="10">
        <v>10</v>
      </c>
      <c r="D24" s="4" t="s">
        <v>173</v>
      </c>
      <c r="E24" s="10">
        <v>10</v>
      </c>
    </row>
    <row r="25" spans="1:10" x14ac:dyDescent="0.45">
      <c r="A25" s="4" t="s">
        <v>192</v>
      </c>
      <c r="B25" s="10" t="s">
        <v>194</v>
      </c>
      <c r="D25" s="4" t="s">
        <v>192</v>
      </c>
      <c r="E25" s="10" t="s">
        <v>194</v>
      </c>
    </row>
    <row r="26" spans="1:10" x14ac:dyDescent="0.45">
      <c r="A26" s="4" t="s">
        <v>193</v>
      </c>
      <c r="B26" s="10" t="s">
        <v>195</v>
      </c>
      <c r="D26" s="4" t="s">
        <v>193</v>
      </c>
      <c r="E26" s="10" t="s">
        <v>195</v>
      </c>
    </row>
    <row r="27" spans="1:10" x14ac:dyDescent="0.45">
      <c r="A27" s="4" t="s">
        <v>180</v>
      </c>
      <c r="B27" s="10" t="s">
        <v>182</v>
      </c>
      <c r="D27" s="4" t="s">
        <v>180</v>
      </c>
      <c r="E27" s="10" t="s">
        <v>182</v>
      </c>
    </row>
    <row r="28" spans="1:10" x14ac:dyDescent="0.45">
      <c r="A28" s="39" t="s">
        <v>174</v>
      </c>
      <c r="B28" s="39"/>
      <c r="D28" s="39" t="s">
        <v>531</v>
      </c>
      <c r="E28" s="39"/>
    </row>
    <row r="29" spans="1:10" x14ac:dyDescent="0.45">
      <c r="A29" s="4" t="s">
        <v>178</v>
      </c>
      <c r="B29" s="10">
        <v>20</v>
      </c>
      <c r="D29" s="4" t="s">
        <v>178</v>
      </c>
      <c r="E29" s="10">
        <v>20</v>
      </c>
    </row>
    <row r="30" spans="1:10" x14ac:dyDescent="0.45">
      <c r="A30" s="4" t="s">
        <v>171</v>
      </c>
      <c r="B30" s="10" t="s">
        <v>177</v>
      </c>
      <c r="D30" s="4" t="s">
        <v>171</v>
      </c>
      <c r="E30" s="10" t="s">
        <v>177</v>
      </c>
    </row>
    <row r="31" spans="1:10" x14ac:dyDescent="0.45">
      <c r="A31" s="4" t="s">
        <v>172</v>
      </c>
      <c r="B31" s="10">
        <v>20</v>
      </c>
      <c r="D31" s="4" t="s">
        <v>172</v>
      </c>
      <c r="E31" s="10">
        <v>20</v>
      </c>
    </row>
    <row r="32" spans="1:10" x14ac:dyDescent="0.45">
      <c r="A32" s="4" t="s">
        <v>173</v>
      </c>
      <c r="B32" s="10">
        <v>20</v>
      </c>
      <c r="D32" s="4" t="s">
        <v>173</v>
      </c>
      <c r="E32" s="10">
        <v>20</v>
      </c>
    </row>
    <row r="33" spans="1:5" x14ac:dyDescent="0.45">
      <c r="A33" s="4" t="s">
        <v>192</v>
      </c>
      <c r="B33" s="10" t="s">
        <v>196</v>
      </c>
      <c r="D33" s="4" t="s">
        <v>192</v>
      </c>
      <c r="E33" s="10" t="s">
        <v>196</v>
      </c>
    </row>
    <row r="34" spans="1:5" x14ac:dyDescent="0.45">
      <c r="A34" s="4" t="s">
        <v>193</v>
      </c>
      <c r="B34" s="10" t="s">
        <v>195</v>
      </c>
      <c r="D34" s="4" t="s">
        <v>193</v>
      </c>
      <c r="E34" s="10" t="s">
        <v>195</v>
      </c>
    </row>
    <row r="35" spans="1:5" x14ac:dyDescent="0.45">
      <c r="A35" s="4" t="s">
        <v>181</v>
      </c>
      <c r="B35" s="10" t="s">
        <v>183</v>
      </c>
      <c r="D35" s="4" t="s">
        <v>181</v>
      </c>
      <c r="E35" s="10" t="s">
        <v>183</v>
      </c>
    </row>
    <row r="53" ht="14.25" customHeight="1" x14ac:dyDescent="0.45"/>
    <row r="54" ht="14.75" customHeight="1" x14ac:dyDescent="0.45"/>
    <row r="85" ht="14.25" customHeight="1" x14ac:dyDescent="0.45"/>
    <row r="86" ht="14.75" customHeight="1" x14ac:dyDescent="0.45"/>
  </sheetData>
  <mergeCells count="8">
    <mergeCell ref="D1:E1"/>
    <mergeCell ref="A1:B1"/>
    <mergeCell ref="A19:B19"/>
    <mergeCell ref="A20:B20"/>
    <mergeCell ref="A28:B28"/>
    <mergeCell ref="D19:E19"/>
    <mergeCell ref="D20:E20"/>
    <mergeCell ref="D28:E28"/>
  </mergeCells>
  <pageMargins left="0.7" right="0.7" top="0.75" bottom="0.75" header="0.3" footer="0.3"/>
  <pageSetup paperSize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9097E-3C0E-6D48-A313-B0820DE58F6B}">
  <sheetPr>
    <tabColor theme="3"/>
  </sheetPr>
  <dimension ref="A1:K37"/>
  <sheetViews>
    <sheetView workbookViewId="0">
      <selection activeCell="D3" sqref="D3:E3"/>
    </sheetView>
  </sheetViews>
  <sheetFormatPr defaultColWidth="10.6640625" defaultRowHeight="14.25" x14ac:dyDescent="0.45"/>
  <cols>
    <col min="1" max="1" width="22.6640625" customWidth="1"/>
    <col min="2" max="2" width="36.796875" customWidth="1"/>
    <col min="3" max="3" width="7.6640625" customWidth="1"/>
    <col min="4" max="4" width="24" customWidth="1"/>
    <col min="5" max="5" width="36" customWidth="1"/>
    <col min="6" max="6" width="9"/>
    <col min="7" max="7" width="22" customWidth="1"/>
    <col min="8" max="8" width="44.796875" customWidth="1"/>
    <col min="9" max="9" width="9"/>
    <col min="10" max="10" width="23.46484375" customWidth="1"/>
    <col min="11" max="11" width="33.6640625" customWidth="1"/>
  </cols>
  <sheetData>
    <row r="1" spans="1:11" ht="15" customHeight="1" x14ac:dyDescent="0.45">
      <c r="A1" s="28" t="s">
        <v>504</v>
      </c>
      <c r="B1" s="28"/>
      <c r="C1" s="2"/>
      <c r="D1" s="33" t="s">
        <v>506</v>
      </c>
      <c r="E1" s="33"/>
      <c r="F1" s="2"/>
      <c r="G1" s="28" t="s">
        <v>507</v>
      </c>
      <c r="H1" s="28"/>
      <c r="I1" s="2"/>
      <c r="J1" s="28" t="s">
        <v>508</v>
      </c>
      <c r="K1" s="28"/>
    </row>
    <row r="2" spans="1:11" ht="16.05" customHeight="1" thickBot="1" x14ac:dyDescent="0.5">
      <c r="A2" s="29"/>
      <c r="B2" s="29"/>
      <c r="C2" s="2"/>
      <c r="D2" s="34"/>
      <c r="E2" s="34"/>
      <c r="F2" s="2"/>
      <c r="G2" s="29"/>
      <c r="H2" s="29"/>
      <c r="I2" s="2"/>
      <c r="J2" s="29"/>
      <c r="K2" s="29"/>
    </row>
    <row r="3" spans="1:11" ht="15" thickTop="1" thickBot="1" x14ac:dyDescent="0.5">
      <c r="A3" s="30" t="s">
        <v>159</v>
      </c>
      <c r="B3" s="30"/>
      <c r="C3" s="2"/>
      <c r="D3" s="35" t="s">
        <v>159</v>
      </c>
      <c r="E3" s="36"/>
      <c r="F3" s="2"/>
      <c r="G3" s="30" t="s">
        <v>159</v>
      </c>
      <c r="H3" s="30"/>
      <c r="I3" s="2"/>
      <c r="J3" s="30" t="s">
        <v>159</v>
      </c>
      <c r="K3" s="30"/>
    </row>
    <row r="4" spans="1:11" ht="14.65" thickTop="1" x14ac:dyDescent="0.45">
      <c r="A4" s="7" t="s">
        <v>155</v>
      </c>
      <c r="B4" s="11" t="str">
        <f>+LongIP2Dotted(Dotted2LongIP(Variables!E2)+223)</f>
        <v>172.16.1.223</v>
      </c>
      <c r="C4" s="2"/>
      <c r="D4" s="7" t="s">
        <v>155</v>
      </c>
      <c r="E4" s="11" t="str">
        <f>+LongIP2Dotted(Dotted2LongIP(Variables!E3)+224)</f>
        <v>192.168.1.224</v>
      </c>
      <c r="F4" s="2"/>
      <c r="G4" s="7" t="s">
        <v>155</v>
      </c>
      <c r="H4" s="11" t="str">
        <f>+LongIP2Dotted(Dotted2LongIP(#REF!)+223)</f>
        <v>0.0.0.0</v>
      </c>
      <c r="I4" s="2"/>
      <c r="J4" s="7" t="s">
        <v>155</v>
      </c>
      <c r="K4" s="11" t="str">
        <f>+LongIP2Dotted(Dotted2LongIP(Variables!E5)+480)</f>
        <v>10.100.1.224</v>
      </c>
    </row>
    <row r="5" spans="1:11" x14ac:dyDescent="0.45">
      <c r="A5" s="7" t="s">
        <v>190</v>
      </c>
      <c r="B5" s="11" t="s">
        <v>191</v>
      </c>
      <c r="C5" s="2"/>
      <c r="D5" s="7" t="s">
        <v>190</v>
      </c>
      <c r="E5" s="11" t="s">
        <v>191</v>
      </c>
      <c r="F5" s="2"/>
      <c r="G5" s="7" t="s">
        <v>190</v>
      </c>
      <c r="H5" s="11" t="s">
        <v>191</v>
      </c>
      <c r="I5" s="2"/>
      <c r="J5" s="7" t="s">
        <v>190</v>
      </c>
      <c r="K5" s="11" t="s">
        <v>191</v>
      </c>
    </row>
    <row r="6" spans="1:11" ht="32" customHeight="1" x14ac:dyDescent="0.45">
      <c r="A6" s="8" t="s">
        <v>206</v>
      </c>
      <c r="B6" s="11" t="str">
        <f>+LongIP2Dotted(Dotted2LongIP(Variables!E2)+128)</f>
        <v>172.16.1.128</v>
      </c>
      <c r="C6" s="2"/>
      <c r="D6" s="8" t="s">
        <v>206</v>
      </c>
      <c r="E6" s="11" t="str">
        <f>+LongIP2Dotted(Dotted2LongIP(Variables!E3)+160)</f>
        <v>192.168.1.160</v>
      </c>
      <c r="F6" s="2"/>
      <c r="G6" s="8" t="s">
        <v>206</v>
      </c>
      <c r="H6" s="11" t="str">
        <f>+LongIP2Dotted(Dotted2LongIP(#REF!)+128)</f>
        <v>0.0.0.0</v>
      </c>
      <c r="I6" s="2"/>
      <c r="J6" s="8" t="s">
        <v>206</v>
      </c>
      <c r="K6" s="11" t="str">
        <f>+LongIP2Dotted(Dotted2LongIP(Variables!E5)+256)</f>
        <v>10.100.1.0</v>
      </c>
    </row>
    <row r="7" spans="1:11" ht="32" customHeight="1" x14ac:dyDescent="0.45">
      <c r="A7" s="8" t="s">
        <v>202</v>
      </c>
      <c r="B7" s="11" t="str">
        <f>+LongIP2Dotted(Dotted2LongIP(B6)+62)</f>
        <v>172.16.1.190</v>
      </c>
      <c r="C7" s="2"/>
      <c r="D7" s="8" t="s">
        <v>202</v>
      </c>
      <c r="E7" s="11" t="str">
        <f>+LongIP2Dotted(Dotted2LongIP(E6)+62)</f>
        <v>192.168.1.222</v>
      </c>
      <c r="F7" s="2"/>
      <c r="G7" s="8" t="s">
        <v>202</v>
      </c>
      <c r="H7" s="11" t="str">
        <f>+LongIP2Dotted(Dotted2LongIP(H6)+62)</f>
        <v>0.0.0.62</v>
      </c>
      <c r="I7" s="2"/>
      <c r="J7" s="8" t="s">
        <v>202</v>
      </c>
      <c r="K7" s="11" t="str">
        <f>+LongIP2Dotted(Dotted2LongIP(Variables!E5)+318)</f>
        <v>10.100.1.62</v>
      </c>
    </row>
    <row r="8" spans="1:11" ht="32" customHeight="1" x14ac:dyDescent="0.45">
      <c r="A8" s="8" t="s">
        <v>207</v>
      </c>
      <c r="B8" s="11" t="s">
        <v>169</v>
      </c>
      <c r="C8" s="2"/>
      <c r="D8" s="8" t="s">
        <v>207</v>
      </c>
      <c r="E8" s="11" t="s">
        <v>169</v>
      </c>
      <c r="F8" s="2"/>
      <c r="G8" s="8" t="s">
        <v>207</v>
      </c>
      <c r="H8" s="11" t="s">
        <v>169</v>
      </c>
      <c r="I8" s="2"/>
      <c r="J8" s="8" t="s">
        <v>207</v>
      </c>
      <c r="K8" s="11" t="s">
        <v>169</v>
      </c>
    </row>
    <row r="9" spans="1:11" x14ac:dyDescent="0.45">
      <c r="A9" s="7" t="s">
        <v>161</v>
      </c>
      <c r="B9" s="11" t="str">
        <f>+LongIP2Dotted(Dotted2LongIP(Variables!E2)+238)</f>
        <v>172.16.1.238</v>
      </c>
      <c r="C9" s="2"/>
      <c r="D9" s="7" t="s">
        <v>161</v>
      </c>
      <c r="E9" s="11" t="str">
        <f>+LongIP2Dotted(Dotted2LongIP(Variables!E3)+238)</f>
        <v>192.168.1.238</v>
      </c>
      <c r="F9" s="2"/>
      <c r="G9" s="7" t="s">
        <v>161</v>
      </c>
      <c r="H9" s="11" t="str">
        <f>+LongIP2Dotted(Dotted2LongIP(#REF!)+238)</f>
        <v>0.0.0.0</v>
      </c>
      <c r="I9" s="2"/>
      <c r="J9" s="7" t="s">
        <v>541</v>
      </c>
      <c r="K9" s="11" t="str">
        <f>+LongIP2Dotted(Dotted2LongIP(Variables!E5)+398)</f>
        <v>10.100.1.142</v>
      </c>
    </row>
    <row r="10" spans="1:11" x14ac:dyDescent="0.45">
      <c r="A10" s="7" t="s">
        <v>162</v>
      </c>
      <c r="B10" s="11" t="s">
        <v>168</v>
      </c>
      <c r="C10" s="2"/>
      <c r="D10" s="7" t="s">
        <v>162</v>
      </c>
      <c r="E10" s="11" t="s">
        <v>168</v>
      </c>
      <c r="F10" s="2"/>
      <c r="G10" s="7" t="s">
        <v>162</v>
      </c>
      <c r="H10" s="11" t="s">
        <v>168</v>
      </c>
      <c r="I10" s="2"/>
      <c r="J10" s="7" t="s">
        <v>542</v>
      </c>
      <c r="K10" s="11" t="s">
        <v>168</v>
      </c>
    </row>
    <row r="11" spans="1:11" ht="14.65" thickBot="1" x14ac:dyDescent="0.5">
      <c r="A11" s="7"/>
      <c r="B11" s="9"/>
      <c r="C11" s="2"/>
      <c r="D11" s="7"/>
      <c r="E11" s="9"/>
      <c r="F11" s="2"/>
      <c r="G11" s="7"/>
      <c r="H11" s="9"/>
      <c r="I11" s="2"/>
      <c r="J11" s="7"/>
      <c r="K11" s="9"/>
    </row>
    <row r="12" spans="1:11" ht="15" thickTop="1" thickBot="1" x14ac:dyDescent="0.5">
      <c r="A12" s="31" t="s">
        <v>164</v>
      </c>
      <c r="B12" s="31"/>
      <c r="C12" s="2"/>
      <c r="D12" s="35" t="s">
        <v>553</v>
      </c>
      <c r="E12" s="36"/>
      <c r="F12" s="2"/>
      <c r="G12" s="31" t="s">
        <v>164</v>
      </c>
      <c r="H12" s="31"/>
      <c r="I12" s="2"/>
      <c r="J12" s="31" t="s">
        <v>543</v>
      </c>
      <c r="K12" s="31"/>
    </row>
    <row r="13" spans="1:11" ht="14.65" thickTop="1" x14ac:dyDescent="0.45">
      <c r="A13" s="7" t="s">
        <v>165</v>
      </c>
      <c r="B13" s="11" t="str">
        <f>+LongIP2Dotted(Dotted2LongIP(Variables!E2)+254)</f>
        <v>172.16.1.254</v>
      </c>
      <c r="C13" s="2"/>
      <c r="D13" s="7" t="s">
        <v>534</v>
      </c>
      <c r="E13" s="11" t="str">
        <f>+LongIP2Dotted(Dotted2LongIP(Variables!E3)+126)</f>
        <v>192.168.1.126</v>
      </c>
      <c r="F13" s="2"/>
      <c r="G13" s="7" t="s">
        <v>165</v>
      </c>
      <c r="H13" s="11" t="str">
        <f>+LongIP2Dotted(Dotted2LongIP(#REF!)+254)</f>
        <v>0.0.0.0</v>
      </c>
      <c r="I13" s="2"/>
      <c r="J13" s="7" t="s">
        <v>534</v>
      </c>
      <c r="K13" s="11" t="str">
        <f>+LongIP2Dotted(Dotted2LongIP(Variables!E5)+254)</f>
        <v>10.100.0.254</v>
      </c>
    </row>
    <row r="14" spans="1:11" x14ac:dyDescent="0.45">
      <c r="A14" s="7" t="s">
        <v>199</v>
      </c>
      <c r="B14" s="11" t="s">
        <v>168</v>
      </c>
      <c r="C14" s="2"/>
      <c r="D14" s="7" t="s">
        <v>554</v>
      </c>
      <c r="E14" s="11" t="s">
        <v>555</v>
      </c>
      <c r="F14" s="2"/>
      <c r="G14" s="7" t="s">
        <v>199</v>
      </c>
      <c r="H14" s="11" t="s">
        <v>168</v>
      </c>
      <c r="I14" s="2"/>
      <c r="J14" s="7" t="s">
        <v>545</v>
      </c>
      <c r="K14" s="11" t="s">
        <v>544</v>
      </c>
    </row>
    <row r="15" spans="1:11" x14ac:dyDescent="0.45">
      <c r="A15" s="7" t="s">
        <v>166</v>
      </c>
      <c r="B15" s="11" t="str">
        <f>+LongIP2Dotted(Dotted2LongIP(Variables!E2)+253)</f>
        <v>172.16.1.253</v>
      </c>
      <c r="C15" s="2"/>
      <c r="D15" s="24"/>
      <c r="E15" s="25"/>
      <c r="F15" s="2"/>
      <c r="G15" s="7" t="s">
        <v>166</v>
      </c>
      <c r="H15" s="11" t="str">
        <f>+LongIP2Dotted(Dotted2LongIP(#REF!)+253)</f>
        <v>0.0.0.0</v>
      </c>
      <c r="I15" s="2"/>
      <c r="J15" s="7" t="s">
        <v>535</v>
      </c>
      <c r="K15" s="11" t="str">
        <f>+LongIP2Dotted(Dotted2LongIP(Variables!E5)+350)</f>
        <v>10.100.1.94</v>
      </c>
    </row>
    <row r="16" spans="1:11" ht="14.65" thickBot="1" x14ac:dyDescent="0.5">
      <c r="A16" s="7"/>
      <c r="B16" s="9"/>
      <c r="C16" s="2"/>
      <c r="D16" s="37" t="s">
        <v>201</v>
      </c>
      <c r="E16" s="38"/>
      <c r="F16" s="2"/>
      <c r="G16" s="7"/>
      <c r="H16" s="9"/>
      <c r="I16" s="2"/>
      <c r="J16" s="7" t="s">
        <v>546</v>
      </c>
      <c r="K16" s="11" t="s">
        <v>551</v>
      </c>
    </row>
    <row r="17" spans="1:11" ht="15" thickTop="1" thickBot="1" x14ac:dyDescent="0.5">
      <c r="A17" s="7" t="s">
        <v>167</v>
      </c>
      <c r="B17" s="11" t="str">
        <f>+LongIP2Dotted(Dotted2LongIP(Variables!E2)+246)</f>
        <v>172.16.1.246</v>
      </c>
      <c r="C17" s="2"/>
      <c r="D17" s="14" t="s">
        <v>202</v>
      </c>
      <c r="E17" s="18" t="str">
        <f>+LongIP2Dotted(Dotted2LongIP(E7)-1)</f>
        <v>192.168.1.221</v>
      </c>
      <c r="F17" s="2"/>
      <c r="G17" s="7" t="s">
        <v>167</v>
      </c>
      <c r="H17" s="11" t="str">
        <f>+LongIP2Dotted(Dotted2LongIP(#REF!)+246)</f>
        <v>0.0.0.0</v>
      </c>
      <c r="I17" s="2"/>
      <c r="J17" s="7" t="s">
        <v>536</v>
      </c>
      <c r="K17" s="11" t="str">
        <f>+LongIP2Dotted(Dotted2LongIP(Variables!E5)+366)</f>
        <v>10.100.1.110</v>
      </c>
    </row>
    <row r="18" spans="1:11" ht="15" thickTop="1" thickBot="1" x14ac:dyDescent="0.5">
      <c r="A18" s="7" t="s">
        <v>200</v>
      </c>
      <c r="B18" s="11" t="s">
        <v>168</v>
      </c>
      <c r="C18" s="2"/>
      <c r="D18" s="14" t="s">
        <v>203</v>
      </c>
      <c r="E18" s="18" t="str">
        <f>E8</f>
        <v>255.255.255.192</v>
      </c>
      <c r="F18" s="2"/>
      <c r="G18" s="7" t="s">
        <v>200</v>
      </c>
      <c r="H18" s="11" t="s">
        <v>168</v>
      </c>
      <c r="I18" s="2"/>
      <c r="J18" s="7" t="s">
        <v>547</v>
      </c>
      <c r="K18" s="11" t="s">
        <v>168</v>
      </c>
    </row>
    <row r="19" spans="1:11" ht="15" thickTop="1" thickBot="1" x14ac:dyDescent="0.5">
      <c r="A19" s="12"/>
      <c r="B19" s="19"/>
      <c r="C19" s="2"/>
      <c r="D19" s="14" t="s">
        <v>204</v>
      </c>
      <c r="E19" s="18" t="str">
        <f>+LongIP2Dotted(Dotted2LongIP(#REF!)-1)</f>
        <v>0.0.0.0</v>
      </c>
      <c r="F19" s="2"/>
      <c r="G19" s="12"/>
      <c r="H19" s="19"/>
      <c r="I19" s="2"/>
      <c r="J19" s="7" t="s">
        <v>537</v>
      </c>
      <c r="K19" s="21" t="str">
        <f>+LongIP2Dotted(Dotted2LongIP(Variables!E5)+382)</f>
        <v>10.100.1.126</v>
      </c>
    </row>
    <row r="20" spans="1:11" ht="15" thickTop="1" thickBot="1" x14ac:dyDescent="0.5">
      <c r="A20" s="27" t="s">
        <v>201</v>
      </c>
      <c r="B20" s="27"/>
      <c r="C20" s="2"/>
      <c r="D20" s="14" t="s">
        <v>205</v>
      </c>
      <c r="E20" s="18"/>
      <c r="F20" s="2"/>
      <c r="G20" s="27" t="s">
        <v>201</v>
      </c>
      <c r="H20" s="27"/>
      <c r="I20" s="2"/>
      <c r="J20" s="7" t="s">
        <v>548</v>
      </c>
      <c r="K20" s="21" t="s">
        <v>168</v>
      </c>
    </row>
    <row r="21" spans="1:11" ht="15" thickTop="1" thickBot="1" x14ac:dyDescent="0.5">
      <c r="A21" s="14" t="s">
        <v>202</v>
      </c>
      <c r="B21" s="18" t="str">
        <f>+LongIP2Dotted(Dotted2LongIP(B7)-1)</f>
        <v>172.16.1.189</v>
      </c>
      <c r="C21" s="2"/>
      <c r="D21" s="15"/>
      <c r="E21" s="16"/>
      <c r="F21" s="2"/>
      <c r="G21" s="14" t="s">
        <v>202</v>
      </c>
      <c r="H21" s="18" t="str">
        <f>+LongIP2Dotted(Dotted2LongIP(H7)-1)</f>
        <v>0.0.0.61</v>
      </c>
      <c r="I21" s="2"/>
      <c r="J21" s="7" t="s">
        <v>538</v>
      </c>
      <c r="K21" s="11" t="str">
        <f>+LongIP2Dotted(Dotted2LongIP(Variables!E5)+390)</f>
        <v>10.100.1.134</v>
      </c>
    </row>
    <row r="22" spans="1:11" ht="15" thickTop="1" thickBot="1" x14ac:dyDescent="0.5">
      <c r="A22" s="14" t="s">
        <v>203</v>
      </c>
      <c r="B22" s="18" t="str">
        <f>B8</f>
        <v>255.255.255.192</v>
      </c>
      <c r="C22" s="2"/>
      <c r="D22" s="35" t="s">
        <v>299</v>
      </c>
      <c r="E22" s="36"/>
      <c r="F22" s="2"/>
      <c r="G22" s="14" t="s">
        <v>203</v>
      </c>
      <c r="H22" s="18" t="str">
        <f>H8</f>
        <v>255.255.255.192</v>
      </c>
      <c r="I22" s="2"/>
      <c r="J22" s="7" t="s">
        <v>549</v>
      </c>
      <c r="K22" s="11" t="s">
        <v>168</v>
      </c>
    </row>
    <row r="23" spans="1:11" ht="15" thickTop="1" thickBot="1" x14ac:dyDescent="0.5">
      <c r="A23" s="14" t="s">
        <v>204</v>
      </c>
      <c r="B23" s="18" t="str">
        <f>+LongIP2Dotted(Dotted2LongIP(B17)-1)</f>
        <v>172.16.1.245</v>
      </c>
      <c r="C23" s="2"/>
      <c r="D23" s="14" t="s">
        <v>202</v>
      </c>
      <c r="E23" s="18" t="str">
        <f>+LongIP2Dotted(Dotted2LongIP(E7)-2)</f>
        <v>192.168.1.220</v>
      </c>
      <c r="F23" s="2"/>
      <c r="G23" s="14" t="s">
        <v>204</v>
      </c>
      <c r="H23" s="18" t="str">
        <f>+LongIP2Dotted(Dotted2LongIP(H17)-1)</f>
        <v>0.0.0.0</v>
      </c>
      <c r="I23" s="2"/>
      <c r="J23" s="7" t="s">
        <v>539</v>
      </c>
      <c r="K23" s="11" t="s">
        <v>168</v>
      </c>
    </row>
    <row r="24" spans="1:11" ht="15" thickTop="1" thickBot="1" x14ac:dyDescent="0.5">
      <c r="A24" s="14" t="s">
        <v>205</v>
      </c>
      <c r="B24" s="18" t="str">
        <f>B18</f>
        <v>255.255.255.248</v>
      </c>
      <c r="C24" s="2"/>
      <c r="D24" s="14" t="s">
        <v>203</v>
      </c>
      <c r="E24" s="18" t="str">
        <f>E8</f>
        <v>255.255.255.192</v>
      </c>
      <c r="F24" s="2"/>
      <c r="G24" s="14" t="s">
        <v>205</v>
      </c>
      <c r="H24" s="18" t="str">
        <f>H18</f>
        <v>255.255.255.248</v>
      </c>
      <c r="I24" s="2"/>
      <c r="J24" s="7" t="s">
        <v>550</v>
      </c>
      <c r="K24" s="11" t="s">
        <v>552</v>
      </c>
    </row>
    <row r="25" spans="1:11" ht="15" thickTop="1" thickBot="1" x14ac:dyDescent="0.5">
      <c r="A25" s="15"/>
      <c r="B25" s="16"/>
      <c r="C25" s="2"/>
      <c r="D25" s="14" t="s">
        <v>301</v>
      </c>
      <c r="E25" s="18" t="str">
        <f>E7</f>
        <v>192.168.1.222</v>
      </c>
      <c r="F25" s="2"/>
      <c r="G25" s="15"/>
      <c r="H25" s="16"/>
      <c r="I25" s="2"/>
      <c r="J25" s="12"/>
      <c r="K25" s="19"/>
    </row>
    <row r="26" spans="1:11" ht="15" thickTop="1" thickBot="1" x14ac:dyDescent="0.5">
      <c r="A26" s="26" t="s">
        <v>299</v>
      </c>
      <c r="B26" s="26"/>
      <c r="C26" s="2"/>
      <c r="D26" s="14"/>
      <c r="E26" s="15"/>
      <c r="F26" s="2"/>
      <c r="G26" s="26" t="s">
        <v>299</v>
      </c>
      <c r="H26" s="26"/>
      <c r="I26" s="2"/>
      <c r="J26" s="27" t="s">
        <v>201</v>
      </c>
      <c r="K26" s="27"/>
    </row>
    <row r="27" spans="1:11" ht="15" thickTop="1" thickBot="1" x14ac:dyDescent="0.5">
      <c r="A27" s="14" t="s">
        <v>202</v>
      </c>
      <c r="B27" s="18" t="str">
        <f>+LongIP2Dotted(Dotted2LongIP(B7)-2)</f>
        <v>172.16.1.188</v>
      </c>
      <c r="C27" s="2"/>
      <c r="D27" s="14" t="s">
        <v>202</v>
      </c>
      <c r="E27" s="18" t="str">
        <f>+LongIP2Dotted(Dotted2LongIP(E7)-2)</f>
        <v>192.168.1.220</v>
      </c>
      <c r="F27" s="2"/>
      <c r="G27" s="14" t="s">
        <v>202</v>
      </c>
      <c r="H27" s="18" t="str">
        <f>+LongIP2Dotted(Dotted2LongIP(H7)-2)</f>
        <v>0.0.0.60</v>
      </c>
      <c r="I27" s="2"/>
      <c r="J27" s="14" t="s">
        <v>202</v>
      </c>
      <c r="K27" s="18" t="str">
        <f>+LongIP2Dotted(Dotted2LongIP(K7)-1)</f>
        <v>10.100.1.61</v>
      </c>
    </row>
    <row r="28" spans="1:11" ht="15" thickTop="1" thickBot="1" x14ac:dyDescent="0.5">
      <c r="A28" s="14" t="s">
        <v>203</v>
      </c>
      <c r="B28" s="18" t="str">
        <f>B8</f>
        <v>255.255.255.192</v>
      </c>
      <c r="C28" s="2"/>
      <c r="D28" s="14" t="s">
        <v>203</v>
      </c>
      <c r="E28" s="18" t="str">
        <f>E8</f>
        <v>255.255.255.192</v>
      </c>
      <c r="F28" s="2"/>
      <c r="G28" s="14" t="s">
        <v>203</v>
      </c>
      <c r="H28" s="18" t="str">
        <f>H8</f>
        <v>255.255.255.192</v>
      </c>
      <c r="I28" s="2"/>
      <c r="J28" s="14" t="s">
        <v>203</v>
      </c>
      <c r="K28" s="18" t="str">
        <f>K8</f>
        <v>255.255.255.192</v>
      </c>
    </row>
    <row r="29" spans="1:11" ht="15" thickTop="1" thickBot="1" x14ac:dyDescent="0.5">
      <c r="A29" s="14" t="s">
        <v>301</v>
      </c>
      <c r="B29" s="18" t="str">
        <f>B7</f>
        <v>172.16.1.190</v>
      </c>
      <c r="C29" s="2"/>
      <c r="D29" s="14" t="s">
        <v>301</v>
      </c>
      <c r="E29" s="18" t="str">
        <f>E7</f>
        <v>192.168.1.222</v>
      </c>
      <c r="F29" s="2"/>
      <c r="G29" s="14" t="s">
        <v>301</v>
      </c>
      <c r="H29" s="18" t="str">
        <f>H7</f>
        <v>0.0.0.62</v>
      </c>
      <c r="I29" s="2"/>
      <c r="J29" s="14" t="s">
        <v>204</v>
      </c>
      <c r="K29" s="18" t="str">
        <f>+LongIP2Dotted(Dotted2LongIP(K21)-1)</f>
        <v>10.100.1.133</v>
      </c>
    </row>
    <row r="30" spans="1:11" ht="15" thickTop="1" thickBot="1" x14ac:dyDescent="0.5">
      <c r="A30" s="14"/>
      <c r="B30" s="15"/>
      <c r="C30" s="2"/>
      <c r="D30" s="14"/>
      <c r="E30" s="15"/>
      <c r="F30" s="2"/>
      <c r="G30" s="14"/>
      <c r="H30" s="15"/>
      <c r="I30" s="2"/>
      <c r="J30" s="14" t="s">
        <v>205</v>
      </c>
      <c r="K30" s="18" t="str">
        <f>K23</f>
        <v>255.255.255.248</v>
      </c>
    </row>
    <row r="31" spans="1:11" ht="15" thickTop="1" thickBot="1" x14ac:dyDescent="0.5">
      <c r="A31" s="22"/>
      <c r="B31" s="23"/>
      <c r="C31" s="2"/>
      <c r="D31" s="22"/>
      <c r="E31" s="23"/>
      <c r="F31" s="2"/>
      <c r="G31" s="22"/>
      <c r="H31" s="23"/>
      <c r="I31" s="2"/>
      <c r="J31" s="15"/>
      <c r="K31" s="16"/>
    </row>
    <row r="32" spans="1:11" ht="15" thickTop="1" thickBot="1" x14ac:dyDescent="0.5">
      <c r="A32" s="22"/>
      <c r="B32" s="23"/>
      <c r="C32" s="2"/>
      <c r="D32" s="22"/>
      <c r="E32" s="23"/>
      <c r="F32" s="2"/>
      <c r="G32" s="22"/>
      <c r="H32" s="23"/>
      <c r="I32" s="2"/>
      <c r="J32" s="26" t="s">
        <v>299</v>
      </c>
      <c r="K32" s="26"/>
    </row>
    <row r="33" spans="1:11" ht="15" thickTop="1" thickBot="1" x14ac:dyDescent="0.5">
      <c r="A33" s="22"/>
      <c r="B33" s="23"/>
      <c r="C33" s="2"/>
      <c r="D33" s="22"/>
      <c r="E33" s="23"/>
      <c r="F33" s="2"/>
      <c r="G33" s="22"/>
      <c r="H33" s="23"/>
      <c r="I33" s="2"/>
      <c r="J33" s="14" t="s">
        <v>202</v>
      </c>
      <c r="K33" s="18" t="str">
        <f>+LongIP2Dotted(Dotted2LongIP(K7)-2)</f>
        <v>10.100.1.60</v>
      </c>
    </row>
    <row r="34" spans="1:11" ht="15" thickTop="1" thickBot="1" x14ac:dyDescent="0.5">
      <c r="A34" s="22"/>
      <c r="B34" s="23"/>
      <c r="C34" s="2"/>
      <c r="D34" s="22"/>
      <c r="E34" s="23"/>
      <c r="F34" s="2"/>
      <c r="G34" s="22"/>
      <c r="H34" s="23"/>
      <c r="I34" s="2"/>
      <c r="J34" s="14" t="s">
        <v>203</v>
      </c>
      <c r="K34" s="18" t="str">
        <f>K8</f>
        <v>255.255.255.192</v>
      </c>
    </row>
    <row r="35" spans="1:11" ht="15" thickTop="1" thickBot="1" x14ac:dyDescent="0.5">
      <c r="A35" s="22"/>
      <c r="B35" s="23"/>
      <c r="C35" s="2"/>
      <c r="D35" s="22"/>
      <c r="E35" s="23"/>
      <c r="F35" s="2"/>
      <c r="G35" s="22"/>
      <c r="H35" s="23"/>
      <c r="I35" s="2"/>
      <c r="J35" s="14" t="s">
        <v>301</v>
      </c>
      <c r="K35" s="18" t="str">
        <f>K7</f>
        <v>10.100.1.62</v>
      </c>
    </row>
    <row r="36" spans="1:11" ht="15" thickTop="1" thickBot="1" x14ac:dyDescent="0.5">
      <c r="A36" s="22"/>
      <c r="B36" s="23"/>
      <c r="C36" s="2"/>
      <c r="D36" s="22"/>
      <c r="E36" s="23"/>
      <c r="F36" s="2"/>
      <c r="G36" s="22"/>
      <c r="H36" s="23"/>
      <c r="I36" s="2"/>
      <c r="J36" s="14"/>
      <c r="K36" s="15"/>
    </row>
    <row r="37" spans="1:11" ht="14.65" thickTop="1" x14ac:dyDescent="0.45"/>
  </sheetData>
  <mergeCells count="20">
    <mergeCell ref="A26:B26"/>
    <mergeCell ref="G26:H26"/>
    <mergeCell ref="J26:K26"/>
    <mergeCell ref="J32:K32"/>
    <mergeCell ref="D16:E16"/>
    <mergeCell ref="D22:E22"/>
    <mergeCell ref="A12:B12"/>
    <mergeCell ref="D12:E12"/>
    <mergeCell ref="G12:H12"/>
    <mergeCell ref="J12:K12"/>
    <mergeCell ref="A20:B20"/>
    <mergeCell ref="G20:H20"/>
    <mergeCell ref="A1:B2"/>
    <mergeCell ref="D1:E2"/>
    <mergeCell ref="G1:H2"/>
    <mergeCell ref="J1:K2"/>
    <mergeCell ref="A3:B3"/>
    <mergeCell ref="D3:E3"/>
    <mergeCell ref="G3:H3"/>
    <mergeCell ref="J3:K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68645-FD7B-46D8-8C99-14CE07E67248}">
  <sheetPr>
    <tabColor theme="3"/>
  </sheetPr>
  <dimension ref="A1:K37"/>
  <sheetViews>
    <sheetView tabSelected="1" workbookViewId="0">
      <selection activeCell="D3" sqref="D3:E3"/>
    </sheetView>
  </sheetViews>
  <sheetFormatPr defaultColWidth="10.6640625" defaultRowHeight="14.25" x14ac:dyDescent="0.45"/>
  <cols>
    <col min="1" max="1" width="22.6640625" customWidth="1"/>
    <col min="2" max="2" width="36.796875" customWidth="1"/>
    <col min="3" max="3" width="7.6640625" customWidth="1"/>
    <col min="4" max="4" width="24" customWidth="1"/>
    <col min="5" max="5" width="36" customWidth="1"/>
    <col min="7" max="7" width="22" customWidth="1"/>
    <col min="8" max="8" width="44.796875" customWidth="1"/>
    <col min="10" max="10" width="23.46484375" customWidth="1"/>
    <col min="11" max="11" width="33.6640625" customWidth="1"/>
  </cols>
  <sheetData>
    <row r="1" spans="1:11" ht="15" customHeight="1" x14ac:dyDescent="0.45">
      <c r="A1" s="28" t="s">
        <v>505</v>
      </c>
      <c r="B1" s="28"/>
      <c r="C1" s="2"/>
      <c r="D1" s="33" t="s">
        <v>509</v>
      </c>
      <c r="E1" s="33"/>
      <c r="F1" s="2"/>
      <c r="G1" s="28" t="s">
        <v>510</v>
      </c>
      <c r="H1" s="28"/>
      <c r="I1" s="2"/>
      <c r="J1" s="28" t="s">
        <v>511</v>
      </c>
      <c r="K1" s="28"/>
    </row>
    <row r="2" spans="1:11" ht="16.05" customHeight="1" thickBot="1" x14ac:dyDescent="0.5">
      <c r="A2" s="29"/>
      <c r="B2" s="29"/>
      <c r="C2" s="2"/>
      <c r="D2" s="34"/>
      <c r="E2" s="34"/>
      <c r="F2" s="2"/>
      <c r="G2" s="29"/>
      <c r="H2" s="29"/>
      <c r="I2" s="2"/>
      <c r="J2" s="29"/>
      <c r="K2" s="29"/>
    </row>
    <row r="3" spans="1:11" ht="15" thickTop="1" thickBot="1" x14ac:dyDescent="0.5">
      <c r="A3" s="30" t="s">
        <v>159</v>
      </c>
      <c r="B3" s="30"/>
      <c r="C3" s="2"/>
      <c r="D3" s="35" t="s">
        <v>159</v>
      </c>
      <c r="E3" s="36"/>
      <c r="F3" s="2"/>
      <c r="G3" s="30" t="s">
        <v>159</v>
      </c>
      <c r="H3" s="30"/>
      <c r="I3" s="2"/>
      <c r="J3" s="30" t="s">
        <v>159</v>
      </c>
      <c r="K3" s="30"/>
    </row>
    <row r="4" spans="1:11" ht="14.65" thickTop="1" x14ac:dyDescent="0.45">
      <c r="A4" s="7" t="s">
        <v>155</v>
      </c>
      <c r="B4" s="11" t="str">
        <f>+LongIP2Dotted(Dotted2LongIP(Variables!E7)+223)</f>
        <v>172.17.1.223</v>
      </c>
      <c r="C4" s="2"/>
      <c r="D4" s="7" t="s">
        <v>155</v>
      </c>
      <c r="E4" s="11" t="str">
        <f>+LongIP2Dotted(Dotted2LongIP(Variables!E8)+224)</f>
        <v>192.168.2.224</v>
      </c>
      <c r="F4" s="2"/>
      <c r="G4" s="7" t="s">
        <v>155</v>
      </c>
      <c r="H4" s="11" t="str">
        <f>+LongIP2Dotted(Dotted2LongIP(#REF!)+223)</f>
        <v>0.0.0.0</v>
      </c>
      <c r="I4" s="2"/>
      <c r="J4" s="7" t="s">
        <v>155</v>
      </c>
      <c r="K4" s="11" t="str">
        <f>+LongIP2Dotted(Dotted2LongIP(Variables!E5)+480)</f>
        <v>10.100.1.224</v>
      </c>
    </row>
    <row r="5" spans="1:11" x14ac:dyDescent="0.45">
      <c r="A5" s="7" t="s">
        <v>190</v>
      </c>
      <c r="B5" s="11" t="s">
        <v>191</v>
      </c>
      <c r="C5" s="2"/>
      <c r="D5" s="7" t="s">
        <v>190</v>
      </c>
      <c r="E5" s="11" t="s">
        <v>191</v>
      </c>
      <c r="F5" s="2"/>
      <c r="G5" s="7" t="s">
        <v>190</v>
      </c>
      <c r="H5" s="11" t="s">
        <v>191</v>
      </c>
      <c r="I5" s="2"/>
      <c r="J5" s="7" t="s">
        <v>190</v>
      </c>
      <c r="K5" s="11" t="s">
        <v>191</v>
      </c>
    </row>
    <row r="6" spans="1:11" ht="32" customHeight="1" x14ac:dyDescent="0.45">
      <c r="A6" s="8" t="s">
        <v>206</v>
      </c>
      <c r="B6" s="11" t="str">
        <f>+LongIP2Dotted(Dotted2LongIP(Variables!E7)+128)</f>
        <v>172.17.1.128</v>
      </c>
      <c r="C6" s="2"/>
      <c r="D6" s="8" t="s">
        <v>206</v>
      </c>
      <c r="E6" s="11" t="str">
        <f>+LongIP2Dotted(Dotted2LongIP(Variables!E8)+160)</f>
        <v>192.168.2.160</v>
      </c>
      <c r="F6" s="2"/>
      <c r="G6" s="8" t="s">
        <v>206</v>
      </c>
      <c r="H6" s="11" t="str">
        <f>+LongIP2Dotted(Dotted2LongIP(#REF!)+128)</f>
        <v>0.0.0.0</v>
      </c>
      <c r="I6" s="2"/>
      <c r="J6" s="8" t="s">
        <v>206</v>
      </c>
      <c r="K6" s="11" t="str">
        <f>+LongIP2Dotted(Dotted2LongIP(Variables!E5)+256)</f>
        <v>10.100.1.0</v>
      </c>
    </row>
    <row r="7" spans="1:11" ht="32" customHeight="1" x14ac:dyDescent="0.45">
      <c r="A7" s="8" t="s">
        <v>202</v>
      </c>
      <c r="B7" s="11" t="str">
        <f>+LongIP2Dotted(Dotted2LongIP(B6)+62)</f>
        <v>172.17.1.190</v>
      </c>
      <c r="C7" s="2"/>
      <c r="D7" s="8" t="s">
        <v>202</v>
      </c>
      <c r="E7" s="11" t="str">
        <f>+LongIP2Dotted(Dotted2LongIP(E6)+62)</f>
        <v>192.168.2.222</v>
      </c>
      <c r="F7" s="2"/>
      <c r="G7" s="8" t="s">
        <v>202</v>
      </c>
      <c r="H7" s="11" t="str">
        <f>+LongIP2Dotted(Dotted2LongIP(H6)+62)</f>
        <v>0.0.0.62</v>
      </c>
      <c r="I7" s="2"/>
      <c r="J7" s="8" t="s">
        <v>202</v>
      </c>
      <c r="K7" s="11" t="str">
        <f>+LongIP2Dotted(Dotted2LongIP(Variables!E5)+318)</f>
        <v>10.100.1.62</v>
      </c>
    </row>
    <row r="8" spans="1:11" ht="32" customHeight="1" x14ac:dyDescent="0.45">
      <c r="A8" s="8" t="s">
        <v>207</v>
      </c>
      <c r="B8" s="11" t="s">
        <v>169</v>
      </c>
      <c r="C8" s="2"/>
      <c r="D8" s="8" t="s">
        <v>207</v>
      </c>
      <c r="E8" s="11" t="s">
        <v>169</v>
      </c>
      <c r="F8" s="2"/>
      <c r="G8" s="8" t="s">
        <v>207</v>
      </c>
      <c r="H8" s="11" t="s">
        <v>169</v>
      </c>
      <c r="I8" s="2"/>
      <c r="J8" s="8" t="s">
        <v>207</v>
      </c>
      <c r="K8" s="11" t="s">
        <v>169</v>
      </c>
    </row>
    <row r="9" spans="1:11" x14ac:dyDescent="0.45">
      <c r="A9" s="7" t="s">
        <v>161</v>
      </c>
      <c r="B9" s="11" t="str">
        <f>+LongIP2Dotted(Dotted2LongIP(Variables!E7)+238)</f>
        <v>172.17.1.238</v>
      </c>
      <c r="C9" s="2"/>
      <c r="D9" s="7" t="s">
        <v>161</v>
      </c>
      <c r="E9" s="11" t="str">
        <f>+LongIP2Dotted(Dotted2LongIP(Variables!E8)+238)</f>
        <v>192.168.2.238</v>
      </c>
      <c r="F9" s="2"/>
      <c r="G9" s="7" t="s">
        <v>161</v>
      </c>
      <c r="H9" s="11" t="str">
        <f>+LongIP2Dotted(Dotted2LongIP(#REF!)+238)</f>
        <v>0.0.0.0</v>
      </c>
      <c r="I9" s="2"/>
      <c r="J9" s="7" t="s">
        <v>541</v>
      </c>
      <c r="K9" s="11" t="str">
        <f>+LongIP2Dotted(Dotted2LongIP(Variables!E5)+398)</f>
        <v>10.100.1.142</v>
      </c>
    </row>
    <row r="10" spans="1:11" x14ac:dyDescent="0.45">
      <c r="A10" s="7" t="s">
        <v>162</v>
      </c>
      <c r="B10" s="11" t="s">
        <v>168</v>
      </c>
      <c r="C10" s="2"/>
      <c r="D10" s="7" t="s">
        <v>162</v>
      </c>
      <c r="E10" s="11" t="s">
        <v>168</v>
      </c>
      <c r="F10" s="2"/>
      <c r="G10" s="7" t="s">
        <v>162</v>
      </c>
      <c r="H10" s="11" t="s">
        <v>168</v>
      </c>
      <c r="I10" s="2"/>
      <c r="J10" s="7" t="s">
        <v>542</v>
      </c>
      <c r="K10" s="11" t="s">
        <v>168</v>
      </c>
    </row>
    <row r="11" spans="1:11" ht="14.65" thickBot="1" x14ac:dyDescent="0.5">
      <c r="A11" s="7"/>
      <c r="B11" s="9"/>
      <c r="C11" s="2"/>
      <c r="D11" s="7"/>
      <c r="E11" s="9"/>
      <c r="F11" s="2"/>
      <c r="G11" s="7"/>
      <c r="H11" s="9"/>
      <c r="I11" s="2"/>
      <c r="J11" s="7"/>
      <c r="K11" s="9"/>
    </row>
    <row r="12" spans="1:11" ht="15" thickTop="1" thickBot="1" x14ac:dyDescent="0.5">
      <c r="A12" s="31" t="s">
        <v>164</v>
      </c>
      <c r="B12" s="31"/>
      <c r="C12" s="2"/>
      <c r="D12" s="35" t="s">
        <v>553</v>
      </c>
      <c r="E12" s="36"/>
      <c r="F12" s="2"/>
      <c r="G12" s="31" t="s">
        <v>164</v>
      </c>
      <c r="H12" s="31"/>
      <c r="I12" s="2"/>
      <c r="J12" s="31" t="s">
        <v>543</v>
      </c>
      <c r="K12" s="31"/>
    </row>
    <row r="13" spans="1:11" ht="14.65" thickTop="1" x14ac:dyDescent="0.45">
      <c r="A13" s="7" t="s">
        <v>165</v>
      </c>
      <c r="B13" s="11" t="str">
        <f>+LongIP2Dotted(Dotted2LongIP(Variables!E7)+254)</f>
        <v>172.17.1.254</v>
      </c>
      <c r="C13" s="2"/>
      <c r="D13" s="7" t="s">
        <v>534</v>
      </c>
      <c r="E13" s="11" t="str">
        <f>+LongIP2Dotted(Dotted2LongIP(Variables!E8)+126)</f>
        <v>192.168.2.126</v>
      </c>
      <c r="F13" s="2"/>
      <c r="G13" s="7" t="s">
        <v>165</v>
      </c>
      <c r="H13" s="11" t="str">
        <f>+LongIP2Dotted(Dotted2LongIP(#REF!)+254)</f>
        <v>0.0.0.0</v>
      </c>
      <c r="I13" s="2"/>
      <c r="J13" s="7" t="s">
        <v>534</v>
      </c>
      <c r="K13" s="11" t="str">
        <f>+LongIP2Dotted(Dotted2LongIP(Variables!E5)+254)</f>
        <v>10.100.0.254</v>
      </c>
    </row>
    <row r="14" spans="1:11" x14ac:dyDescent="0.45">
      <c r="A14" s="7" t="s">
        <v>199</v>
      </c>
      <c r="B14" s="11" t="s">
        <v>168</v>
      </c>
      <c r="C14" s="2"/>
      <c r="D14" s="7" t="s">
        <v>554</v>
      </c>
      <c r="E14" s="11" t="s">
        <v>555</v>
      </c>
      <c r="F14" s="2"/>
      <c r="G14" s="7" t="s">
        <v>199</v>
      </c>
      <c r="H14" s="11" t="s">
        <v>168</v>
      </c>
      <c r="I14" s="2"/>
      <c r="J14" s="7" t="s">
        <v>545</v>
      </c>
      <c r="K14" s="11" t="s">
        <v>544</v>
      </c>
    </row>
    <row r="15" spans="1:11" x14ac:dyDescent="0.45">
      <c r="A15" s="7" t="s">
        <v>166</v>
      </c>
      <c r="B15" s="11" t="str">
        <f>+LongIP2Dotted(Dotted2LongIP(Variables!E7)+253)</f>
        <v>172.17.1.253</v>
      </c>
      <c r="C15" s="2"/>
      <c r="D15" s="24"/>
      <c r="E15" s="25"/>
      <c r="F15" s="2"/>
      <c r="G15" s="7" t="s">
        <v>166</v>
      </c>
      <c r="H15" s="11" t="str">
        <f>+LongIP2Dotted(Dotted2LongIP(#REF!)+253)</f>
        <v>0.0.0.0</v>
      </c>
      <c r="I15" s="2"/>
      <c r="J15" s="7" t="s">
        <v>535</v>
      </c>
      <c r="K15" s="11" t="str">
        <f>+LongIP2Dotted(Dotted2LongIP(Variables!E5)+350)</f>
        <v>10.100.1.94</v>
      </c>
    </row>
    <row r="16" spans="1:11" ht="14.65" thickBot="1" x14ac:dyDescent="0.5">
      <c r="A16" s="7"/>
      <c r="B16" s="9"/>
      <c r="C16" s="2"/>
      <c r="D16" s="37" t="s">
        <v>201</v>
      </c>
      <c r="E16" s="38"/>
      <c r="F16" s="2"/>
      <c r="G16" s="7"/>
      <c r="H16" s="9"/>
      <c r="I16" s="2"/>
      <c r="J16" s="7" t="s">
        <v>546</v>
      </c>
      <c r="K16" s="11" t="s">
        <v>551</v>
      </c>
    </row>
    <row r="17" spans="1:11" ht="15" thickTop="1" thickBot="1" x14ac:dyDescent="0.5">
      <c r="A17" s="7" t="s">
        <v>167</v>
      </c>
      <c r="B17" s="11" t="str">
        <f>+LongIP2Dotted(Dotted2LongIP(Variables!E7)+246)</f>
        <v>172.17.1.246</v>
      </c>
      <c r="C17" s="2"/>
      <c r="D17" s="14" t="s">
        <v>202</v>
      </c>
      <c r="E17" s="18" t="str">
        <f>+LongIP2Dotted(Dotted2LongIP(E7)-1)</f>
        <v>192.168.2.221</v>
      </c>
      <c r="F17" s="2"/>
      <c r="G17" s="7" t="s">
        <v>167</v>
      </c>
      <c r="H17" s="11" t="str">
        <f>+LongIP2Dotted(Dotted2LongIP(#REF!)+246)</f>
        <v>0.0.0.0</v>
      </c>
      <c r="I17" s="2"/>
      <c r="J17" s="7" t="s">
        <v>536</v>
      </c>
      <c r="K17" s="11" t="str">
        <f>+LongIP2Dotted(Dotted2LongIP(Variables!E5)+366)</f>
        <v>10.100.1.110</v>
      </c>
    </row>
    <row r="18" spans="1:11" ht="15" thickTop="1" thickBot="1" x14ac:dyDescent="0.5">
      <c r="A18" s="7" t="s">
        <v>200</v>
      </c>
      <c r="B18" s="11" t="s">
        <v>168</v>
      </c>
      <c r="C18" s="2"/>
      <c r="D18" s="14" t="s">
        <v>203</v>
      </c>
      <c r="E18" s="18" t="str">
        <f>E8</f>
        <v>255.255.255.192</v>
      </c>
      <c r="F18" s="2"/>
      <c r="G18" s="7" t="s">
        <v>200</v>
      </c>
      <c r="H18" s="11" t="s">
        <v>168</v>
      </c>
      <c r="I18" s="2"/>
      <c r="J18" s="7" t="s">
        <v>547</v>
      </c>
      <c r="K18" s="11" t="s">
        <v>168</v>
      </c>
    </row>
    <row r="19" spans="1:11" ht="15" thickTop="1" thickBot="1" x14ac:dyDescent="0.5">
      <c r="A19" s="12"/>
      <c r="B19" s="19"/>
      <c r="C19" s="2"/>
      <c r="D19" s="14" t="s">
        <v>204</v>
      </c>
      <c r="E19" s="18" t="str">
        <f>+LongIP2Dotted(Dotted2LongIP(#REF!)-1)</f>
        <v>0.0.0.0</v>
      </c>
      <c r="F19" s="2"/>
      <c r="G19" s="12"/>
      <c r="H19" s="19"/>
      <c r="I19" s="2"/>
      <c r="J19" s="7" t="s">
        <v>537</v>
      </c>
      <c r="K19" s="21" t="str">
        <f>+LongIP2Dotted(Dotted2LongIP(Variables!E5)+382)</f>
        <v>10.100.1.126</v>
      </c>
    </row>
    <row r="20" spans="1:11" ht="15" thickTop="1" thickBot="1" x14ac:dyDescent="0.5">
      <c r="A20" s="27" t="s">
        <v>201</v>
      </c>
      <c r="B20" s="27"/>
      <c r="C20" s="2"/>
      <c r="D20" s="14" t="s">
        <v>205</v>
      </c>
      <c r="E20" s="18"/>
      <c r="F20" s="2"/>
      <c r="G20" s="27" t="s">
        <v>201</v>
      </c>
      <c r="H20" s="27"/>
      <c r="I20" s="2"/>
      <c r="J20" s="7" t="s">
        <v>548</v>
      </c>
      <c r="K20" s="21" t="s">
        <v>168</v>
      </c>
    </row>
    <row r="21" spans="1:11" ht="15" thickTop="1" thickBot="1" x14ac:dyDescent="0.5">
      <c r="A21" s="14" t="s">
        <v>202</v>
      </c>
      <c r="B21" s="18" t="str">
        <f>+LongIP2Dotted(Dotted2LongIP(B7)-1)</f>
        <v>172.17.1.189</v>
      </c>
      <c r="C21" s="2"/>
      <c r="D21" s="15"/>
      <c r="E21" s="16"/>
      <c r="F21" s="2"/>
      <c r="G21" s="14" t="s">
        <v>202</v>
      </c>
      <c r="H21" s="18" t="str">
        <f>+LongIP2Dotted(Dotted2LongIP(H7)-1)</f>
        <v>0.0.0.61</v>
      </c>
      <c r="I21" s="2"/>
      <c r="J21" s="7" t="s">
        <v>538</v>
      </c>
      <c r="K21" s="11" t="str">
        <f>+LongIP2Dotted(Dotted2LongIP(Variables!E5)+390)</f>
        <v>10.100.1.134</v>
      </c>
    </row>
    <row r="22" spans="1:11" ht="15" thickTop="1" thickBot="1" x14ac:dyDescent="0.5">
      <c r="A22" s="14" t="s">
        <v>203</v>
      </c>
      <c r="B22" s="18" t="str">
        <f>B8</f>
        <v>255.255.255.192</v>
      </c>
      <c r="C22" s="2"/>
      <c r="D22" s="35" t="s">
        <v>299</v>
      </c>
      <c r="E22" s="36"/>
      <c r="F22" s="2"/>
      <c r="G22" s="14" t="s">
        <v>203</v>
      </c>
      <c r="H22" s="18" t="str">
        <f>H8</f>
        <v>255.255.255.192</v>
      </c>
      <c r="I22" s="2"/>
      <c r="J22" s="7" t="s">
        <v>549</v>
      </c>
      <c r="K22" s="11" t="s">
        <v>168</v>
      </c>
    </row>
    <row r="23" spans="1:11" ht="15" thickTop="1" thickBot="1" x14ac:dyDescent="0.5">
      <c r="A23" s="14" t="s">
        <v>204</v>
      </c>
      <c r="B23" s="18" t="str">
        <f>+LongIP2Dotted(Dotted2LongIP(B17)-1)</f>
        <v>172.17.1.245</v>
      </c>
      <c r="C23" s="2"/>
      <c r="D23" s="14" t="s">
        <v>202</v>
      </c>
      <c r="E23" s="18" t="str">
        <f>+LongIP2Dotted(Dotted2LongIP(E7)-2)</f>
        <v>192.168.2.220</v>
      </c>
      <c r="F23" s="2"/>
      <c r="G23" s="14" t="s">
        <v>204</v>
      </c>
      <c r="H23" s="18" t="str">
        <f>+LongIP2Dotted(Dotted2LongIP(H17)-1)</f>
        <v>0.0.0.0</v>
      </c>
      <c r="I23" s="2"/>
      <c r="J23" s="7" t="s">
        <v>539</v>
      </c>
      <c r="K23" s="11" t="s">
        <v>168</v>
      </c>
    </row>
    <row r="24" spans="1:11" ht="15" thickTop="1" thickBot="1" x14ac:dyDescent="0.5">
      <c r="A24" s="14" t="s">
        <v>205</v>
      </c>
      <c r="B24" s="18" t="str">
        <f>B18</f>
        <v>255.255.255.248</v>
      </c>
      <c r="C24" s="2"/>
      <c r="D24" s="14" t="s">
        <v>203</v>
      </c>
      <c r="E24" s="18" t="str">
        <f>E8</f>
        <v>255.255.255.192</v>
      </c>
      <c r="F24" s="2"/>
      <c r="G24" s="14" t="s">
        <v>205</v>
      </c>
      <c r="H24" s="18" t="str">
        <f>H18</f>
        <v>255.255.255.248</v>
      </c>
      <c r="I24" s="2"/>
      <c r="J24" s="7" t="s">
        <v>550</v>
      </c>
      <c r="K24" s="11" t="s">
        <v>552</v>
      </c>
    </row>
    <row r="25" spans="1:11" ht="15" thickTop="1" thickBot="1" x14ac:dyDescent="0.5">
      <c r="A25" s="15"/>
      <c r="B25" s="16"/>
      <c r="C25" s="2"/>
      <c r="D25" s="14" t="s">
        <v>301</v>
      </c>
      <c r="E25" s="18" t="str">
        <f>E7</f>
        <v>192.168.2.222</v>
      </c>
      <c r="F25" s="2"/>
      <c r="G25" s="15"/>
      <c r="H25" s="16"/>
      <c r="I25" s="2"/>
      <c r="J25" s="12"/>
      <c r="K25" s="19"/>
    </row>
    <row r="26" spans="1:11" ht="15" thickTop="1" thickBot="1" x14ac:dyDescent="0.5">
      <c r="A26" s="26" t="s">
        <v>299</v>
      </c>
      <c r="B26" s="26"/>
      <c r="C26" s="2"/>
      <c r="D26" s="14"/>
      <c r="E26" s="15"/>
      <c r="F26" s="2"/>
      <c r="G26" s="26" t="s">
        <v>299</v>
      </c>
      <c r="H26" s="26"/>
      <c r="I26" s="2"/>
      <c r="J26" s="27" t="s">
        <v>201</v>
      </c>
      <c r="K26" s="27"/>
    </row>
    <row r="27" spans="1:11" ht="15" thickTop="1" thickBot="1" x14ac:dyDescent="0.5">
      <c r="A27" s="14" t="s">
        <v>202</v>
      </c>
      <c r="B27" s="18" t="str">
        <f>+LongIP2Dotted(Dotted2LongIP(B7)-2)</f>
        <v>172.17.1.188</v>
      </c>
      <c r="C27" s="2"/>
      <c r="D27" s="14" t="s">
        <v>202</v>
      </c>
      <c r="E27" s="18" t="str">
        <f>+LongIP2Dotted(Dotted2LongIP(E7)-2)</f>
        <v>192.168.2.220</v>
      </c>
      <c r="F27" s="2"/>
      <c r="G27" s="14" t="s">
        <v>202</v>
      </c>
      <c r="H27" s="18" t="str">
        <f>+LongIP2Dotted(Dotted2LongIP(H7)-2)</f>
        <v>0.0.0.60</v>
      </c>
      <c r="I27" s="2"/>
      <c r="J27" s="14" t="s">
        <v>202</v>
      </c>
      <c r="K27" s="18" t="str">
        <f>+LongIP2Dotted(Dotted2LongIP(K7)-1)</f>
        <v>10.100.1.61</v>
      </c>
    </row>
    <row r="28" spans="1:11" ht="15" thickTop="1" thickBot="1" x14ac:dyDescent="0.5">
      <c r="A28" s="14" t="s">
        <v>203</v>
      </c>
      <c r="B28" s="18" t="str">
        <f>B8</f>
        <v>255.255.255.192</v>
      </c>
      <c r="C28" s="2"/>
      <c r="D28" s="14" t="s">
        <v>203</v>
      </c>
      <c r="E28" s="18" t="str">
        <f>E8</f>
        <v>255.255.255.192</v>
      </c>
      <c r="F28" s="2"/>
      <c r="G28" s="14" t="s">
        <v>203</v>
      </c>
      <c r="H28" s="18" t="str">
        <f>H8</f>
        <v>255.255.255.192</v>
      </c>
      <c r="I28" s="2"/>
      <c r="J28" s="14" t="s">
        <v>203</v>
      </c>
      <c r="K28" s="18" t="str">
        <f>K8</f>
        <v>255.255.255.192</v>
      </c>
    </row>
    <row r="29" spans="1:11" ht="15" thickTop="1" thickBot="1" x14ac:dyDescent="0.5">
      <c r="A29" s="14" t="s">
        <v>301</v>
      </c>
      <c r="B29" s="18" t="str">
        <f>B7</f>
        <v>172.17.1.190</v>
      </c>
      <c r="C29" s="2"/>
      <c r="D29" s="14" t="s">
        <v>301</v>
      </c>
      <c r="E29" s="18" t="str">
        <f>E7</f>
        <v>192.168.2.222</v>
      </c>
      <c r="F29" s="2"/>
      <c r="G29" s="14" t="s">
        <v>301</v>
      </c>
      <c r="H29" s="18" t="str">
        <f>H7</f>
        <v>0.0.0.62</v>
      </c>
      <c r="I29" s="2"/>
      <c r="J29" s="14" t="s">
        <v>204</v>
      </c>
      <c r="K29" s="18" t="str">
        <f>+LongIP2Dotted(Dotted2LongIP(K21)-1)</f>
        <v>10.100.1.133</v>
      </c>
    </row>
    <row r="30" spans="1:11" ht="15" thickTop="1" thickBot="1" x14ac:dyDescent="0.5">
      <c r="A30" s="14"/>
      <c r="B30" s="15"/>
      <c r="C30" s="2"/>
      <c r="D30" s="14"/>
      <c r="E30" s="15"/>
      <c r="F30" s="2"/>
      <c r="G30" s="14"/>
      <c r="H30" s="15"/>
      <c r="I30" s="2"/>
      <c r="J30" s="14" t="s">
        <v>205</v>
      </c>
      <c r="K30" s="18" t="str">
        <f>K23</f>
        <v>255.255.255.248</v>
      </c>
    </row>
    <row r="31" spans="1:11" ht="15" thickTop="1" thickBot="1" x14ac:dyDescent="0.5">
      <c r="A31" s="22"/>
      <c r="B31" s="23"/>
      <c r="C31" s="2"/>
      <c r="D31" s="22"/>
      <c r="E31" s="23"/>
      <c r="F31" s="2"/>
      <c r="G31" s="22"/>
      <c r="H31" s="23"/>
      <c r="I31" s="2"/>
      <c r="J31" s="15"/>
      <c r="K31" s="16"/>
    </row>
    <row r="32" spans="1:11" ht="15" thickTop="1" thickBot="1" x14ac:dyDescent="0.5">
      <c r="A32" s="22"/>
      <c r="B32" s="23"/>
      <c r="C32" s="2"/>
      <c r="D32" s="22"/>
      <c r="E32" s="23"/>
      <c r="F32" s="2"/>
      <c r="G32" s="22"/>
      <c r="H32" s="23"/>
      <c r="I32" s="2"/>
      <c r="J32" s="26" t="s">
        <v>299</v>
      </c>
      <c r="K32" s="26"/>
    </row>
    <row r="33" spans="1:11" ht="15" thickTop="1" thickBot="1" x14ac:dyDescent="0.5">
      <c r="A33" s="22"/>
      <c r="B33" s="23"/>
      <c r="C33" s="2"/>
      <c r="D33" s="22"/>
      <c r="E33" s="23"/>
      <c r="F33" s="2"/>
      <c r="G33" s="22"/>
      <c r="H33" s="23"/>
      <c r="I33" s="2"/>
      <c r="J33" s="14" t="s">
        <v>202</v>
      </c>
      <c r="K33" s="18" t="str">
        <f>+LongIP2Dotted(Dotted2LongIP(K7)-2)</f>
        <v>10.100.1.60</v>
      </c>
    </row>
    <row r="34" spans="1:11" ht="15" thickTop="1" thickBot="1" x14ac:dyDescent="0.5">
      <c r="A34" s="22"/>
      <c r="B34" s="23"/>
      <c r="C34" s="2"/>
      <c r="D34" s="22"/>
      <c r="E34" s="23"/>
      <c r="F34" s="2"/>
      <c r="G34" s="22"/>
      <c r="H34" s="23"/>
      <c r="I34" s="2"/>
      <c r="J34" s="14" t="s">
        <v>203</v>
      </c>
      <c r="K34" s="18" t="str">
        <f>K8</f>
        <v>255.255.255.192</v>
      </c>
    </row>
    <row r="35" spans="1:11" ht="15" thickTop="1" thickBot="1" x14ac:dyDescent="0.5">
      <c r="A35" s="22"/>
      <c r="B35" s="23"/>
      <c r="C35" s="2"/>
      <c r="D35" s="22"/>
      <c r="E35" s="23"/>
      <c r="F35" s="2"/>
      <c r="G35" s="22"/>
      <c r="H35" s="23"/>
      <c r="I35" s="2"/>
      <c r="J35" s="14" t="s">
        <v>301</v>
      </c>
      <c r="K35" s="18" t="str">
        <f>K7</f>
        <v>10.100.1.62</v>
      </c>
    </row>
    <row r="36" spans="1:11" ht="15" thickTop="1" thickBot="1" x14ac:dyDescent="0.5">
      <c r="A36" s="22"/>
      <c r="B36" s="23"/>
      <c r="C36" s="2"/>
      <c r="D36" s="22"/>
      <c r="E36" s="23"/>
      <c r="F36" s="2"/>
      <c r="G36" s="22"/>
      <c r="H36" s="23"/>
      <c r="I36" s="2"/>
      <c r="J36" s="14"/>
      <c r="K36" s="15"/>
    </row>
    <row r="37" spans="1:11" ht="14.65" thickTop="1" x14ac:dyDescent="0.45"/>
  </sheetData>
  <mergeCells count="20">
    <mergeCell ref="D22:E22"/>
    <mergeCell ref="A26:B26"/>
    <mergeCell ref="G26:H26"/>
    <mergeCell ref="J26:K26"/>
    <mergeCell ref="J32:K32"/>
    <mergeCell ref="A12:B12"/>
    <mergeCell ref="D12:E12"/>
    <mergeCell ref="G12:H12"/>
    <mergeCell ref="J12:K12"/>
    <mergeCell ref="D16:E16"/>
    <mergeCell ref="A20:B20"/>
    <mergeCell ref="G20:H20"/>
    <mergeCell ref="A1:B2"/>
    <mergeCell ref="D1:E2"/>
    <mergeCell ref="G1:H2"/>
    <mergeCell ref="J1:K2"/>
    <mergeCell ref="A3:B3"/>
    <mergeCell ref="D3:E3"/>
    <mergeCell ref="G3:H3"/>
    <mergeCell ref="J3:K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F81AD-93C3-497D-9336-1E176B3E0293}">
  <sheetPr>
    <tabColor theme="3"/>
  </sheetPr>
  <dimension ref="A1:K37"/>
  <sheetViews>
    <sheetView topLeftCell="D1" workbookViewId="0">
      <selection activeCell="E33" sqref="E33"/>
    </sheetView>
  </sheetViews>
  <sheetFormatPr defaultColWidth="10.6640625" defaultRowHeight="14.25" x14ac:dyDescent="0.45"/>
  <cols>
    <col min="1" max="1" width="22.6640625" customWidth="1"/>
    <col min="2" max="2" width="36.796875" customWidth="1"/>
    <col min="3" max="3" width="7.6640625" customWidth="1"/>
    <col min="4" max="4" width="24" customWidth="1"/>
    <col min="5" max="5" width="36" customWidth="1"/>
    <col min="7" max="7" width="22" customWidth="1"/>
    <col min="8" max="8" width="44.796875" customWidth="1"/>
    <col min="10" max="10" width="23.46484375" customWidth="1"/>
    <col min="11" max="11" width="33.6640625" customWidth="1"/>
  </cols>
  <sheetData>
    <row r="1" spans="1:11" ht="15" customHeight="1" x14ac:dyDescent="0.45">
      <c r="A1" s="28" t="s">
        <v>505</v>
      </c>
      <c r="B1" s="28"/>
      <c r="C1" s="2"/>
      <c r="D1" s="33" t="s">
        <v>509</v>
      </c>
      <c r="E1" s="33"/>
      <c r="F1" s="2"/>
      <c r="G1" s="28" t="s">
        <v>510</v>
      </c>
      <c r="H1" s="28"/>
      <c r="I1" s="2"/>
      <c r="J1" s="28" t="s">
        <v>511</v>
      </c>
      <c r="K1" s="28"/>
    </row>
    <row r="2" spans="1:11" ht="16.05" customHeight="1" thickBot="1" x14ac:dyDescent="0.5">
      <c r="A2" s="29"/>
      <c r="B2" s="29"/>
      <c r="C2" s="2"/>
      <c r="D2" s="34"/>
      <c r="E2" s="34"/>
      <c r="F2" s="2"/>
      <c r="G2" s="29"/>
      <c r="H2" s="29"/>
      <c r="I2" s="2"/>
      <c r="J2" s="29"/>
      <c r="K2" s="29"/>
    </row>
    <row r="3" spans="1:11" ht="15" thickTop="1" thickBot="1" x14ac:dyDescent="0.5">
      <c r="A3" s="30" t="s">
        <v>159</v>
      </c>
      <c r="B3" s="30"/>
      <c r="C3" s="2"/>
      <c r="D3" s="35" t="s">
        <v>159</v>
      </c>
      <c r="E3" s="36"/>
      <c r="F3" s="2"/>
      <c r="G3" s="30" t="s">
        <v>159</v>
      </c>
      <c r="H3" s="30"/>
      <c r="I3" s="2"/>
      <c r="J3" s="30" t="s">
        <v>159</v>
      </c>
      <c r="K3" s="30"/>
    </row>
    <row r="4" spans="1:11" ht="14.65" thickTop="1" x14ac:dyDescent="0.45">
      <c r="A4" s="7" t="s">
        <v>155</v>
      </c>
      <c r="B4" s="11" t="str">
        <f>+LongIP2Dotted(Dotted2LongIP(Variables!E2)+223)</f>
        <v>172.16.1.223</v>
      </c>
      <c r="C4" s="2"/>
      <c r="D4" s="7" t="s">
        <v>155</v>
      </c>
      <c r="E4" s="11" t="str">
        <f>+LongIP2Dotted(Dotted2LongIP(Variables!E3)+224)</f>
        <v>192.168.1.224</v>
      </c>
      <c r="F4" s="2"/>
      <c r="G4" s="7" t="s">
        <v>155</v>
      </c>
      <c r="H4" s="11" t="str">
        <f>+LongIP2Dotted(Dotted2LongIP(#REF!)+223)</f>
        <v>0.0.0.0</v>
      </c>
      <c r="I4" s="2"/>
      <c r="J4" s="7" t="s">
        <v>155</v>
      </c>
      <c r="K4" s="11" t="str">
        <f>+LongIP2Dotted(Dotted2LongIP(Variables!E5)+480)</f>
        <v>10.100.1.224</v>
      </c>
    </row>
    <row r="5" spans="1:11" x14ac:dyDescent="0.45">
      <c r="A5" s="7" t="s">
        <v>190</v>
      </c>
      <c r="B5" s="11" t="s">
        <v>191</v>
      </c>
      <c r="C5" s="2"/>
      <c r="D5" s="7" t="s">
        <v>190</v>
      </c>
      <c r="E5" s="11" t="s">
        <v>191</v>
      </c>
      <c r="F5" s="2"/>
      <c r="G5" s="7" t="s">
        <v>190</v>
      </c>
      <c r="H5" s="11" t="s">
        <v>191</v>
      </c>
      <c r="I5" s="2"/>
      <c r="J5" s="7" t="s">
        <v>190</v>
      </c>
      <c r="K5" s="11" t="s">
        <v>191</v>
      </c>
    </row>
    <row r="6" spans="1:11" ht="32" customHeight="1" x14ac:dyDescent="0.45">
      <c r="A6" s="8" t="s">
        <v>206</v>
      </c>
      <c r="B6" s="11" t="str">
        <f>+LongIP2Dotted(Dotted2LongIP(Variables!E2)+128)</f>
        <v>172.16.1.128</v>
      </c>
      <c r="C6" s="2"/>
      <c r="D6" s="8" t="s">
        <v>206</v>
      </c>
      <c r="E6" s="11" t="str">
        <f>+LongIP2Dotted(Dotted2LongIP(Variables!E3)+160)</f>
        <v>192.168.1.160</v>
      </c>
      <c r="F6" s="2"/>
      <c r="G6" s="8" t="s">
        <v>206</v>
      </c>
      <c r="H6" s="11" t="str">
        <f>+LongIP2Dotted(Dotted2LongIP(#REF!)+128)</f>
        <v>0.0.0.0</v>
      </c>
      <c r="I6" s="2"/>
      <c r="J6" s="8" t="s">
        <v>206</v>
      </c>
      <c r="K6" s="11" t="str">
        <f>+LongIP2Dotted(Dotted2LongIP(Variables!E5)+256)</f>
        <v>10.100.1.0</v>
      </c>
    </row>
    <row r="7" spans="1:11" ht="32" customHeight="1" x14ac:dyDescent="0.45">
      <c r="A7" s="8" t="s">
        <v>202</v>
      </c>
      <c r="B7" s="11" t="str">
        <f>+LongIP2Dotted(Dotted2LongIP(B6)+62)</f>
        <v>172.16.1.190</v>
      </c>
      <c r="C7" s="2"/>
      <c r="D7" s="8" t="s">
        <v>202</v>
      </c>
      <c r="E7" s="11" t="str">
        <f>+LongIP2Dotted(Dotted2LongIP(E6)+62)</f>
        <v>192.168.1.222</v>
      </c>
      <c r="F7" s="2"/>
      <c r="G7" s="8" t="s">
        <v>202</v>
      </c>
      <c r="H7" s="11" t="str">
        <f>+LongIP2Dotted(Dotted2LongIP(H6)+62)</f>
        <v>0.0.0.62</v>
      </c>
      <c r="I7" s="2"/>
      <c r="J7" s="8" t="s">
        <v>202</v>
      </c>
      <c r="K7" s="11" t="str">
        <f>+LongIP2Dotted(Dotted2LongIP(Variables!E5)+318)</f>
        <v>10.100.1.62</v>
      </c>
    </row>
    <row r="8" spans="1:11" ht="32" customHeight="1" x14ac:dyDescent="0.45">
      <c r="A8" s="8" t="s">
        <v>207</v>
      </c>
      <c r="B8" s="11" t="s">
        <v>169</v>
      </c>
      <c r="C8" s="2"/>
      <c r="D8" s="8" t="s">
        <v>207</v>
      </c>
      <c r="E8" s="11" t="s">
        <v>169</v>
      </c>
      <c r="F8" s="2"/>
      <c r="G8" s="8" t="s">
        <v>207</v>
      </c>
      <c r="H8" s="11" t="s">
        <v>169</v>
      </c>
      <c r="I8" s="2"/>
      <c r="J8" s="8" t="s">
        <v>207</v>
      </c>
      <c r="K8" s="11" t="s">
        <v>169</v>
      </c>
    </row>
    <row r="9" spans="1:11" x14ac:dyDescent="0.45">
      <c r="A9" s="7" t="s">
        <v>161</v>
      </c>
      <c r="B9" s="11" t="str">
        <f>+LongIP2Dotted(Dotted2LongIP(Variables!E2)+238)</f>
        <v>172.16.1.238</v>
      </c>
      <c r="C9" s="2"/>
      <c r="D9" s="7" t="s">
        <v>161</v>
      </c>
      <c r="E9" s="11" t="str">
        <f>+LongIP2Dotted(Dotted2LongIP(Variables!E3)+238)</f>
        <v>192.168.1.238</v>
      </c>
      <c r="F9" s="2"/>
      <c r="G9" s="7" t="s">
        <v>161</v>
      </c>
      <c r="H9" s="11" t="str">
        <f>+LongIP2Dotted(Dotted2LongIP(#REF!)+238)</f>
        <v>0.0.0.0</v>
      </c>
      <c r="I9" s="2"/>
      <c r="J9" s="7" t="s">
        <v>541</v>
      </c>
      <c r="K9" s="11" t="str">
        <f>+LongIP2Dotted(Dotted2LongIP(Variables!E5)+398)</f>
        <v>10.100.1.142</v>
      </c>
    </row>
    <row r="10" spans="1:11" x14ac:dyDescent="0.45">
      <c r="A10" s="7" t="s">
        <v>162</v>
      </c>
      <c r="B10" s="11" t="s">
        <v>168</v>
      </c>
      <c r="C10" s="2"/>
      <c r="D10" s="7" t="s">
        <v>162</v>
      </c>
      <c r="E10" s="11" t="s">
        <v>168</v>
      </c>
      <c r="F10" s="2"/>
      <c r="G10" s="7" t="s">
        <v>162</v>
      </c>
      <c r="H10" s="11" t="s">
        <v>168</v>
      </c>
      <c r="I10" s="2"/>
      <c r="J10" s="7" t="s">
        <v>542</v>
      </c>
      <c r="K10" s="11" t="s">
        <v>168</v>
      </c>
    </row>
    <row r="11" spans="1:11" ht="14.65" thickBot="1" x14ac:dyDescent="0.5">
      <c r="A11" s="7"/>
      <c r="B11" s="9"/>
      <c r="C11" s="2"/>
      <c r="D11" s="7"/>
      <c r="E11" s="9"/>
      <c r="F11" s="2"/>
      <c r="G11" s="7"/>
      <c r="H11" s="9"/>
      <c r="I11" s="2"/>
      <c r="J11" s="7"/>
      <c r="K11" s="9"/>
    </row>
    <row r="12" spans="1:11" ht="15" thickTop="1" thickBot="1" x14ac:dyDescent="0.5">
      <c r="A12" s="31" t="s">
        <v>164</v>
      </c>
      <c r="B12" s="31"/>
      <c r="C12" s="2"/>
      <c r="D12" s="35" t="s">
        <v>553</v>
      </c>
      <c r="E12" s="36"/>
      <c r="F12" s="2"/>
      <c r="G12" s="31" t="s">
        <v>164</v>
      </c>
      <c r="H12" s="31"/>
      <c r="I12" s="2"/>
      <c r="J12" s="31" t="s">
        <v>543</v>
      </c>
      <c r="K12" s="31"/>
    </row>
    <row r="13" spans="1:11" ht="14.65" thickTop="1" x14ac:dyDescent="0.45">
      <c r="A13" s="7" t="s">
        <v>165</v>
      </c>
      <c r="B13" s="11" t="str">
        <f>+LongIP2Dotted(Dotted2LongIP(Variables!E2)+254)</f>
        <v>172.16.1.254</v>
      </c>
      <c r="C13" s="2"/>
      <c r="D13" s="7" t="s">
        <v>534</v>
      </c>
      <c r="E13" s="11" t="str">
        <f>+LongIP2Dotted(Dotted2LongIP(Variables!E3)+126)</f>
        <v>192.168.1.126</v>
      </c>
      <c r="F13" s="2"/>
      <c r="G13" s="7" t="s">
        <v>165</v>
      </c>
      <c r="H13" s="11" t="str">
        <f>+LongIP2Dotted(Dotted2LongIP(#REF!)+254)</f>
        <v>0.0.0.0</v>
      </c>
      <c r="I13" s="2"/>
      <c r="J13" s="7" t="s">
        <v>534</v>
      </c>
      <c r="K13" s="11" t="str">
        <f>+LongIP2Dotted(Dotted2LongIP(Variables!E5)+254)</f>
        <v>10.100.0.254</v>
      </c>
    </row>
    <row r="14" spans="1:11" x14ac:dyDescent="0.45">
      <c r="A14" s="7" t="s">
        <v>199</v>
      </c>
      <c r="B14" s="11" t="s">
        <v>168</v>
      </c>
      <c r="C14" s="2"/>
      <c r="D14" s="7" t="s">
        <v>554</v>
      </c>
      <c r="E14" s="11" t="s">
        <v>555</v>
      </c>
      <c r="F14" s="2"/>
      <c r="G14" s="7" t="s">
        <v>199</v>
      </c>
      <c r="H14" s="11" t="s">
        <v>168</v>
      </c>
      <c r="I14" s="2"/>
      <c r="J14" s="7" t="s">
        <v>545</v>
      </c>
      <c r="K14" s="11" t="s">
        <v>544</v>
      </c>
    </row>
    <row r="15" spans="1:11" x14ac:dyDescent="0.45">
      <c r="A15" s="7" t="s">
        <v>166</v>
      </c>
      <c r="B15" s="11" t="str">
        <f>+LongIP2Dotted(Dotted2LongIP(Variables!E2)+253)</f>
        <v>172.16.1.253</v>
      </c>
      <c r="C15" s="2"/>
      <c r="D15" s="24"/>
      <c r="E15" s="25"/>
      <c r="F15" s="2"/>
      <c r="G15" s="7" t="s">
        <v>166</v>
      </c>
      <c r="H15" s="11" t="str">
        <f>+LongIP2Dotted(Dotted2LongIP(#REF!)+253)</f>
        <v>0.0.0.0</v>
      </c>
      <c r="I15" s="2"/>
      <c r="J15" s="7" t="s">
        <v>535</v>
      </c>
      <c r="K15" s="11" t="str">
        <f>+LongIP2Dotted(Dotted2LongIP(Variables!E5)+350)</f>
        <v>10.100.1.94</v>
      </c>
    </row>
    <row r="16" spans="1:11" ht="14.65" thickBot="1" x14ac:dyDescent="0.5">
      <c r="A16" s="7"/>
      <c r="B16" s="9"/>
      <c r="C16" s="2"/>
      <c r="D16" s="37" t="s">
        <v>201</v>
      </c>
      <c r="E16" s="38"/>
      <c r="F16" s="2"/>
      <c r="G16" s="7"/>
      <c r="H16" s="9"/>
      <c r="I16" s="2"/>
      <c r="J16" s="7" t="s">
        <v>546</v>
      </c>
      <c r="K16" s="11" t="s">
        <v>551</v>
      </c>
    </row>
    <row r="17" spans="1:11" ht="15" thickTop="1" thickBot="1" x14ac:dyDescent="0.5">
      <c r="A17" s="7" t="s">
        <v>167</v>
      </c>
      <c r="B17" s="11" t="str">
        <f>+LongIP2Dotted(Dotted2LongIP(Variables!E2)+246)</f>
        <v>172.16.1.246</v>
      </c>
      <c r="C17" s="2"/>
      <c r="D17" s="14" t="s">
        <v>202</v>
      </c>
      <c r="E17" s="18" t="str">
        <f>+LongIP2Dotted(Dotted2LongIP(E7)-1)</f>
        <v>192.168.1.221</v>
      </c>
      <c r="F17" s="2"/>
      <c r="G17" s="7" t="s">
        <v>167</v>
      </c>
      <c r="H17" s="11" t="str">
        <f>+LongIP2Dotted(Dotted2LongIP(#REF!)+246)</f>
        <v>0.0.0.0</v>
      </c>
      <c r="I17" s="2"/>
      <c r="J17" s="7" t="s">
        <v>536</v>
      </c>
      <c r="K17" s="11" t="str">
        <f>+LongIP2Dotted(Dotted2LongIP(Variables!E5)+366)</f>
        <v>10.100.1.110</v>
      </c>
    </row>
    <row r="18" spans="1:11" ht="15" thickTop="1" thickBot="1" x14ac:dyDescent="0.5">
      <c r="A18" s="7" t="s">
        <v>200</v>
      </c>
      <c r="B18" s="11" t="s">
        <v>168</v>
      </c>
      <c r="C18" s="2"/>
      <c r="D18" s="14" t="s">
        <v>203</v>
      </c>
      <c r="E18" s="18" t="str">
        <f>E8</f>
        <v>255.255.255.192</v>
      </c>
      <c r="F18" s="2"/>
      <c r="G18" s="7" t="s">
        <v>200</v>
      </c>
      <c r="H18" s="11" t="s">
        <v>168</v>
      </c>
      <c r="I18" s="2"/>
      <c r="J18" s="7" t="s">
        <v>547</v>
      </c>
      <c r="K18" s="11" t="s">
        <v>168</v>
      </c>
    </row>
    <row r="19" spans="1:11" ht="15" thickTop="1" thickBot="1" x14ac:dyDescent="0.5">
      <c r="A19" s="12"/>
      <c r="B19" s="19"/>
      <c r="C19" s="2"/>
      <c r="D19" s="14" t="s">
        <v>204</v>
      </c>
      <c r="E19" s="18" t="str">
        <f>+LongIP2Dotted(Dotted2LongIP(#REF!)-1)</f>
        <v>0.0.0.0</v>
      </c>
      <c r="F19" s="2"/>
      <c r="G19" s="12"/>
      <c r="H19" s="19"/>
      <c r="I19" s="2"/>
      <c r="J19" s="7" t="s">
        <v>537</v>
      </c>
      <c r="K19" s="21" t="str">
        <f>+LongIP2Dotted(Dotted2LongIP(Variables!E5)+382)</f>
        <v>10.100.1.126</v>
      </c>
    </row>
    <row r="20" spans="1:11" ht="15" thickTop="1" thickBot="1" x14ac:dyDescent="0.5">
      <c r="A20" s="27" t="s">
        <v>201</v>
      </c>
      <c r="B20" s="27"/>
      <c r="C20" s="2"/>
      <c r="D20" s="14" t="s">
        <v>205</v>
      </c>
      <c r="E20" s="18"/>
      <c r="F20" s="2"/>
      <c r="G20" s="27" t="s">
        <v>201</v>
      </c>
      <c r="H20" s="27"/>
      <c r="I20" s="2"/>
      <c r="J20" s="7" t="s">
        <v>548</v>
      </c>
      <c r="K20" s="21" t="s">
        <v>168</v>
      </c>
    </row>
    <row r="21" spans="1:11" ht="15" thickTop="1" thickBot="1" x14ac:dyDescent="0.5">
      <c r="A21" s="14" t="s">
        <v>202</v>
      </c>
      <c r="B21" s="18" t="str">
        <f>+LongIP2Dotted(Dotted2LongIP(B7)-1)</f>
        <v>172.16.1.189</v>
      </c>
      <c r="C21" s="2"/>
      <c r="D21" s="15"/>
      <c r="E21" s="16"/>
      <c r="F21" s="2"/>
      <c r="G21" s="14" t="s">
        <v>202</v>
      </c>
      <c r="H21" s="18" t="str">
        <f>+LongIP2Dotted(Dotted2LongIP(H7)-1)</f>
        <v>0.0.0.61</v>
      </c>
      <c r="I21" s="2"/>
      <c r="J21" s="7" t="s">
        <v>538</v>
      </c>
      <c r="K21" s="11" t="str">
        <f>+LongIP2Dotted(Dotted2LongIP(Variables!E5)+390)</f>
        <v>10.100.1.134</v>
      </c>
    </row>
    <row r="22" spans="1:11" ht="15" thickTop="1" thickBot="1" x14ac:dyDescent="0.5">
      <c r="A22" s="14" t="s">
        <v>203</v>
      </c>
      <c r="B22" s="18" t="str">
        <f>B8</f>
        <v>255.255.255.192</v>
      </c>
      <c r="C22" s="2"/>
      <c r="D22" s="35" t="s">
        <v>299</v>
      </c>
      <c r="E22" s="36"/>
      <c r="F22" s="2"/>
      <c r="G22" s="14" t="s">
        <v>203</v>
      </c>
      <c r="H22" s="18" t="str">
        <f>H8</f>
        <v>255.255.255.192</v>
      </c>
      <c r="I22" s="2"/>
      <c r="J22" s="7" t="s">
        <v>549</v>
      </c>
      <c r="K22" s="11" t="s">
        <v>168</v>
      </c>
    </row>
    <row r="23" spans="1:11" ht="15" thickTop="1" thickBot="1" x14ac:dyDescent="0.5">
      <c r="A23" s="14" t="s">
        <v>204</v>
      </c>
      <c r="B23" s="18" t="str">
        <f>+LongIP2Dotted(Dotted2LongIP(B17)-1)</f>
        <v>172.16.1.245</v>
      </c>
      <c r="C23" s="2"/>
      <c r="D23" s="14" t="s">
        <v>202</v>
      </c>
      <c r="E23" s="18" t="str">
        <f>+LongIP2Dotted(Dotted2LongIP(E7)-2)</f>
        <v>192.168.1.220</v>
      </c>
      <c r="F23" s="2"/>
      <c r="G23" s="14" t="s">
        <v>204</v>
      </c>
      <c r="H23" s="18" t="str">
        <f>+LongIP2Dotted(Dotted2LongIP(H17)-1)</f>
        <v>0.0.0.0</v>
      </c>
      <c r="I23" s="2"/>
      <c r="J23" s="7" t="s">
        <v>539</v>
      </c>
      <c r="K23" s="11" t="s">
        <v>168</v>
      </c>
    </row>
    <row r="24" spans="1:11" ht="15" thickTop="1" thickBot="1" x14ac:dyDescent="0.5">
      <c r="A24" s="14" t="s">
        <v>205</v>
      </c>
      <c r="B24" s="18" t="str">
        <f>B18</f>
        <v>255.255.255.248</v>
      </c>
      <c r="C24" s="2"/>
      <c r="D24" s="14" t="s">
        <v>203</v>
      </c>
      <c r="E24" s="18" t="str">
        <f>E8</f>
        <v>255.255.255.192</v>
      </c>
      <c r="F24" s="2"/>
      <c r="G24" s="14" t="s">
        <v>205</v>
      </c>
      <c r="H24" s="18" t="str">
        <f>H18</f>
        <v>255.255.255.248</v>
      </c>
      <c r="I24" s="2"/>
      <c r="J24" s="7" t="s">
        <v>550</v>
      </c>
      <c r="K24" s="11" t="s">
        <v>552</v>
      </c>
    </row>
    <row r="25" spans="1:11" ht="15" thickTop="1" thickBot="1" x14ac:dyDescent="0.5">
      <c r="A25" s="15"/>
      <c r="B25" s="16"/>
      <c r="C25" s="2"/>
      <c r="D25" s="14" t="s">
        <v>301</v>
      </c>
      <c r="E25" s="18" t="str">
        <f>E7</f>
        <v>192.168.1.222</v>
      </c>
      <c r="F25" s="2"/>
      <c r="G25" s="15"/>
      <c r="H25" s="16"/>
      <c r="I25" s="2"/>
      <c r="J25" s="12"/>
      <c r="K25" s="19"/>
    </row>
    <row r="26" spans="1:11" ht="15" thickTop="1" thickBot="1" x14ac:dyDescent="0.5">
      <c r="A26" s="26" t="s">
        <v>299</v>
      </c>
      <c r="B26" s="26"/>
      <c r="C26" s="2"/>
      <c r="D26" s="14"/>
      <c r="E26" s="15"/>
      <c r="F26" s="2"/>
      <c r="G26" s="26" t="s">
        <v>299</v>
      </c>
      <c r="H26" s="26"/>
      <c r="I26" s="2"/>
      <c r="J26" s="27" t="s">
        <v>201</v>
      </c>
      <c r="K26" s="27"/>
    </row>
    <row r="27" spans="1:11" ht="15" thickTop="1" thickBot="1" x14ac:dyDescent="0.5">
      <c r="A27" s="14" t="s">
        <v>202</v>
      </c>
      <c r="B27" s="18" t="str">
        <f>+LongIP2Dotted(Dotted2LongIP(B7)-2)</f>
        <v>172.16.1.188</v>
      </c>
      <c r="C27" s="2"/>
      <c r="D27" s="14" t="s">
        <v>202</v>
      </c>
      <c r="E27" s="18" t="str">
        <f>+LongIP2Dotted(Dotted2LongIP(E7)-2)</f>
        <v>192.168.1.220</v>
      </c>
      <c r="F27" s="2"/>
      <c r="G27" s="14" t="s">
        <v>202</v>
      </c>
      <c r="H27" s="18" t="str">
        <f>+LongIP2Dotted(Dotted2LongIP(H7)-2)</f>
        <v>0.0.0.60</v>
      </c>
      <c r="I27" s="2"/>
      <c r="J27" s="14" t="s">
        <v>202</v>
      </c>
      <c r="K27" s="18" t="str">
        <f>+LongIP2Dotted(Dotted2LongIP(K7)-1)</f>
        <v>10.100.1.61</v>
      </c>
    </row>
    <row r="28" spans="1:11" ht="15" thickTop="1" thickBot="1" x14ac:dyDescent="0.5">
      <c r="A28" s="14" t="s">
        <v>203</v>
      </c>
      <c r="B28" s="18" t="str">
        <f>B8</f>
        <v>255.255.255.192</v>
      </c>
      <c r="C28" s="2"/>
      <c r="D28" s="14" t="s">
        <v>203</v>
      </c>
      <c r="E28" s="18" t="str">
        <f>E8</f>
        <v>255.255.255.192</v>
      </c>
      <c r="F28" s="2"/>
      <c r="G28" s="14" t="s">
        <v>203</v>
      </c>
      <c r="H28" s="18" t="str">
        <f>H8</f>
        <v>255.255.255.192</v>
      </c>
      <c r="I28" s="2"/>
      <c r="J28" s="14" t="s">
        <v>203</v>
      </c>
      <c r="K28" s="18" t="str">
        <f>K8</f>
        <v>255.255.255.192</v>
      </c>
    </row>
    <row r="29" spans="1:11" ht="15" thickTop="1" thickBot="1" x14ac:dyDescent="0.5">
      <c r="A29" s="14" t="s">
        <v>301</v>
      </c>
      <c r="B29" s="18" t="str">
        <f>B7</f>
        <v>172.16.1.190</v>
      </c>
      <c r="C29" s="2"/>
      <c r="D29" s="14" t="s">
        <v>301</v>
      </c>
      <c r="E29" s="18" t="str">
        <f>E7</f>
        <v>192.168.1.222</v>
      </c>
      <c r="F29" s="2"/>
      <c r="G29" s="14" t="s">
        <v>301</v>
      </c>
      <c r="H29" s="18" t="str">
        <f>H7</f>
        <v>0.0.0.62</v>
      </c>
      <c r="I29" s="2"/>
      <c r="J29" s="14" t="s">
        <v>204</v>
      </c>
      <c r="K29" s="18" t="str">
        <f>+LongIP2Dotted(Dotted2LongIP(K21)-1)</f>
        <v>10.100.1.133</v>
      </c>
    </row>
    <row r="30" spans="1:11" ht="15" thickTop="1" thickBot="1" x14ac:dyDescent="0.5">
      <c r="A30" s="14"/>
      <c r="B30" s="15"/>
      <c r="C30" s="2"/>
      <c r="D30" s="14"/>
      <c r="E30" s="15"/>
      <c r="F30" s="2"/>
      <c r="G30" s="14"/>
      <c r="H30" s="15"/>
      <c r="I30" s="2"/>
      <c r="J30" s="14" t="s">
        <v>205</v>
      </c>
      <c r="K30" s="18" t="str">
        <f>K23</f>
        <v>255.255.255.248</v>
      </c>
    </row>
    <row r="31" spans="1:11" ht="15" thickTop="1" thickBot="1" x14ac:dyDescent="0.5">
      <c r="A31" s="22"/>
      <c r="B31" s="23"/>
      <c r="C31" s="2"/>
      <c r="D31" s="22"/>
      <c r="E31" s="23"/>
      <c r="F31" s="2"/>
      <c r="G31" s="22"/>
      <c r="H31" s="23"/>
      <c r="I31" s="2"/>
      <c r="J31" s="15"/>
      <c r="K31" s="16"/>
    </row>
    <row r="32" spans="1:11" ht="15" thickTop="1" thickBot="1" x14ac:dyDescent="0.5">
      <c r="A32" s="22"/>
      <c r="B32" s="23"/>
      <c r="C32" s="2"/>
      <c r="D32" s="22"/>
      <c r="E32" s="23"/>
      <c r="F32" s="2"/>
      <c r="G32" s="22"/>
      <c r="H32" s="23"/>
      <c r="I32" s="2"/>
      <c r="J32" s="26" t="s">
        <v>299</v>
      </c>
      <c r="K32" s="26"/>
    </row>
    <row r="33" spans="1:11" ht="15" thickTop="1" thickBot="1" x14ac:dyDescent="0.5">
      <c r="A33" s="22"/>
      <c r="B33" s="23"/>
      <c r="C33" s="2"/>
      <c r="D33" s="22"/>
      <c r="E33" s="23"/>
      <c r="F33" s="2"/>
      <c r="G33" s="22"/>
      <c r="H33" s="23"/>
      <c r="I33" s="2"/>
      <c r="J33" s="14" t="s">
        <v>202</v>
      </c>
      <c r="K33" s="18" t="str">
        <f>+LongIP2Dotted(Dotted2LongIP(K7)-2)</f>
        <v>10.100.1.60</v>
      </c>
    </row>
    <row r="34" spans="1:11" ht="15" thickTop="1" thickBot="1" x14ac:dyDescent="0.5">
      <c r="A34" s="22"/>
      <c r="B34" s="23"/>
      <c r="C34" s="2"/>
      <c r="D34" s="22"/>
      <c r="E34" s="23"/>
      <c r="F34" s="2"/>
      <c r="G34" s="22"/>
      <c r="H34" s="23"/>
      <c r="I34" s="2"/>
      <c r="J34" s="14" t="s">
        <v>203</v>
      </c>
      <c r="K34" s="18" t="str">
        <f>K8</f>
        <v>255.255.255.192</v>
      </c>
    </row>
    <row r="35" spans="1:11" ht="15" thickTop="1" thickBot="1" x14ac:dyDescent="0.5">
      <c r="A35" s="22"/>
      <c r="B35" s="23"/>
      <c r="C35" s="2"/>
      <c r="D35" s="22"/>
      <c r="E35" s="23"/>
      <c r="F35" s="2"/>
      <c r="G35" s="22"/>
      <c r="H35" s="23"/>
      <c r="I35" s="2"/>
      <c r="J35" s="14" t="s">
        <v>301</v>
      </c>
      <c r="K35" s="18" t="str">
        <f>K7</f>
        <v>10.100.1.62</v>
      </c>
    </row>
    <row r="36" spans="1:11" ht="15" thickTop="1" thickBot="1" x14ac:dyDescent="0.5">
      <c r="A36" s="22"/>
      <c r="B36" s="23"/>
      <c r="C36" s="2"/>
      <c r="D36" s="22"/>
      <c r="E36" s="23"/>
      <c r="F36" s="2"/>
      <c r="G36" s="22"/>
      <c r="H36" s="23"/>
      <c r="I36" s="2"/>
      <c r="J36" s="14"/>
      <c r="K36" s="15"/>
    </row>
    <row r="37" spans="1:11" ht="14.65" thickTop="1" x14ac:dyDescent="0.45"/>
  </sheetData>
  <mergeCells count="20">
    <mergeCell ref="D22:E22"/>
    <mergeCell ref="A26:B26"/>
    <mergeCell ref="G26:H26"/>
    <mergeCell ref="J26:K26"/>
    <mergeCell ref="J32:K32"/>
    <mergeCell ref="A12:B12"/>
    <mergeCell ref="D12:E12"/>
    <mergeCell ref="G12:H12"/>
    <mergeCell ref="J12:K12"/>
    <mergeCell ref="D16:E16"/>
    <mergeCell ref="A20:B20"/>
    <mergeCell ref="G20:H20"/>
    <mergeCell ref="A1:B2"/>
    <mergeCell ref="D1:E2"/>
    <mergeCell ref="G1:H2"/>
    <mergeCell ref="J1:K2"/>
    <mergeCell ref="A3:B3"/>
    <mergeCell ref="D3:E3"/>
    <mergeCell ref="G3:H3"/>
    <mergeCell ref="J3:K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43214-1C2B-4FC9-86B2-F827C1201763}">
  <sheetPr>
    <tabColor theme="3"/>
  </sheetPr>
  <dimension ref="A1:K37"/>
  <sheetViews>
    <sheetView topLeftCell="D1" workbookViewId="0">
      <selection activeCell="E33" sqref="E33"/>
    </sheetView>
  </sheetViews>
  <sheetFormatPr defaultColWidth="10.6640625" defaultRowHeight="14.25" x14ac:dyDescent="0.45"/>
  <cols>
    <col min="1" max="1" width="22.6640625" customWidth="1"/>
    <col min="2" max="2" width="36.796875" customWidth="1"/>
    <col min="3" max="3" width="7.6640625" customWidth="1"/>
    <col min="4" max="4" width="24" customWidth="1"/>
    <col min="5" max="5" width="36" customWidth="1"/>
    <col min="7" max="7" width="22" customWidth="1"/>
    <col min="8" max="8" width="44.796875" customWidth="1"/>
    <col min="10" max="10" width="23.46484375" customWidth="1"/>
    <col min="11" max="11" width="33.6640625" customWidth="1"/>
  </cols>
  <sheetData>
    <row r="1" spans="1:11" ht="15" customHeight="1" x14ac:dyDescent="0.45">
      <c r="A1" s="28" t="s">
        <v>505</v>
      </c>
      <c r="B1" s="28"/>
      <c r="C1" s="2"/>
      <c r="D1" s="33" t="s">
        <v>509</v>
      </c>
      <c r="E1" s="33"/>
      <c r="F1" s="2"/>
      <c r="G1" s="28" t="s">
        <v>510</v>
      </c>
      <c r="H1" s="28"/>
      <c r="I1" s="2"/>
      <c r="J1" s="28" t="s">
        <v>511</v>
      </c>
      <c r="K1" s="28"/>
    </row>
    <row r="2" spans="1:11" ht="16.05" customHeight="1" thickBot="1" x14ac:dyDescent="0.5">
      <c r="A2" s="29"/>
      <c r="B2" s="29"/>
      <c r="C2" s="2"/>
      <c r="D2" s="34"/>
      <c r="E2" s="34"/>
      <c r="F2" s="2"/>
      <c r="G2" s="29"/>
      <c r="H2" s="29"/>
      <c r="I2" s="2"/>
      <c r="J2" s="29"/>
      <c r="K2" s="29"/>
    </row>
    <row r="3" spans="1:11" ht="15" thickTop="1" thickBot="1" x14ac:dyDescent="0.5">
      <c r="A3" s="30" t="s">
        <v>159</v>
      </c>
      <c r="B3" s="30"/>
      <c r="C3" s="2"/>
      <c r="D3" s="35" t="s">
        <v>159</v>
      </c>
      <c r="E3" s="36"/>
      <c r="F3" s="2"/>
      <c r="G3" s="30" t="s">
        <v>159</v>
      </c>
      <c r="H3" s="30"/>
      <c r="I3" s="2"/>
      <c r="J3" s="30" t="s">
        <v>159</v>
      </c>
      <c r="K3" s="30"/>
    </row>
    <row r="4" spans="1:11" ht="14.65" thickTop="1" x14ac:dyDescent="0.45">
      <c r="A4" s="7" t="s">
        <v>155</v>
      </c>
      <c r="B4" s="11" t="str">
        <f>+LongIP2Dotted(Dotted2LongIP(Variables!E2)+223)</f>
        <v>172.16.1.223</v>
      </c>
      <c r="C4" s="2"/>
      <c r="D4" s="7" t="s">
        <v>155</v>
      </c>
      <c r="E4" s="11" t="str">
        <f>+LongIP2Dotted(Dotted2LongIP(Variables!E3)+224)</f>
        <v>192.168.1.224</v>
      </c>
      <c r="F4" s="2"/>
      <c r="G4" s="7" t="s">
        <v>155</v>
      </c>
      <c r="H4" s="11" t="str">
        <f>+LongIP2Dotted(Dotted2LongIP(#REF!)+223)</f>
        <v>0.0.0.0</v>
      </c>
      <c r="I4" s="2"/>
      <c r="J4" s="7" t="s">
        <v>155</v>
      </c>
      <c r="K4" s="11" t="str">
        <f>+LongIP2Dotted(Dotted2LongIP(Variables!E5)+480)</f>
        <v>10.100.1.224</v>
      </c>
    </row>
    <row r="5" spans="1:11" x14ac:dyDescent="0.45">
      <c r="A5" s="7" t="s">
        <v>190</v>
      </c>
      <c r="B5" s="11" t="s">
        <v>191</v>
      </c>
      <c r="C5" s="2"/>
      <c r="D5" s="7" t="s">
        <v>190</v>
      </c>
      <c r="E5" s="11" t="s">
        <v>191</v>
      </c>
      <c r="F5" s="2"/>
      <c r="G5" s="7" t="s">
        <v>190</v>
      </c>
      <c r="H5" s="11" t="s">
        <v>191</v>
      </c>
      <c r="I5" s="2"/>
      <c r="J5" s="7" t="s">
        <v>190</v>
      </c>
      <c r="K5" s="11" t="s">
        <v>191</v>
      </c>
    </row>
    <row r="6" spans="1:11" ht="32" customHeight="1" x14ac:dyDescent="0.45">
      <c r="A6" s="8" t="s">
        <v>206</v>
      </c>
      <c r="B6" s="11" t="str">
        <f>+LongIP2Dotted(Dotted2LongIP(Variables!E2)+128)</f>
        <v>172.16.1.128</v>
      </c>
      <c r="C6" s="2"/>
      <c r="D6" s="8" t="s">
        <v>206</v>
      </c>
      <c r="E6" s="11" t="str">
        <f>+LongIP2Dotted(Dotted2LongIP(Variables!E3)+160)</f>
        <v>192.168.1.160</v>
      </c>
      <c r="F6" s="2"/>
      <c r="G6" s="8" t="s">
        <v>206</v>
      </c>
      <c r="H6" s="11" t="str">
        <f>+LongIP2Dotted(Dotted2LongIP(#REF!)+128)</f>
        <v>0.0.0.0</v>
      </c>
      <c r="I6" s="2"/>
      <c r="J6" s="8" t="s">
        <v>206</v>
      </c>
      <c r="K6" s="11" t="str">
        <f>+LongIP2Dotted(Dotted2LongIP(Variables!E5)+256)</f>
        <v>10.100.1.0</v>
      </c>
    </row>
    <row r="7" spans="1:11" ht="32" customHeight="1" x14ac:dyDescent="0.45">
      <c r="A7" s="8" t="s">
        <v>202</v>
      </c>
      <c r="B7" s="11" t="str">
        <f>+LongIP2Dotted(Dotted2LongIP(B6)+62)</f>
        <v>172.16.1.190</v>
      </c>
      <c r="C7" s="2"/>
      <c r="D7" s="8" t="s">
        <v>202</v>
      </c>
      <c r="E7" s="11" t="str">
        <f>+LongIP2Dotted(Dotted2LongIP(E6)+62)</f>
        <v>192.168.1.222</v>
      </c>
      <c r="F7" s="2"/>
      <c r="G7" s="8" t="s">
        <v>202</v>
      </c>
      <c r="H7" s="11" t="str">
        <f>+LongIP2Dotted(Dotted2LongIP(H6)+62)</f>
        <v>0.0.0.62</v>
      </c>
      <c r="I7" s="2"/>
      <c r="J7" s="8" t="s">
        <v>202</v>
      </c>
      <c r="K7" s="11" t="str">
        <f>+LongIP2Dotted(Dotted2LongIP(Variables!E5)+318)</f>
        <v>10.100.1.62</v>
      </c>
    </row>
    <row r="8" spans="1:11" ht="32" customHeight="1" x14ac:dyDescent="0.45">
      <c r="A8" s="8" t="s">
        <v>207</v>
      </c>
      <c r="B8" s="11" t="s">
        <v>169</v>
      </c>
      <c r="C8" s="2"/>
      <c r="D8" s="8" t="s">
        <v>207</v>
      </c>
      <c r="E8" s="11" t="s">
        <v>169</v>
      </c>
      <c r="F8" s="2"/>
      <c r="G8" s="8" t="s">
        <v>207</v>
      </c>
      <c r="H8" s="11" t="s">
        <v>169</v>
      </c>
      <c r="I8" s="2"/>
      <c r="J8" s="8" t="s">
        <v>207</v>
      </c>
      <c r="K8" s="11" t="s">
        <v>169</v>
      </c>
    </row>
    <row r="9" spans="1:11" x14ac:dyDescent="0.45">
      <c r="A9" s="7" t="s">
        <v>161</v>
      </c>
      <c r="B9" s="11" t="str">
        <f>+LongIP2Dotted(Dotted2LongIP(Variables!E2)+238)</f>
        <v>172.16.1.238</v>
      </c>
      <c r="C9" s="2"/>
      <c r="D9" s="7" t="s">
        <v>161</v>
      </c>
      <c r="E9" s="11" t="str">
        <f>+LongIP2Dotted(Dotted2LongIP(Variables!E3)+238)</f>
        <v>192.168.1.238</v>
      </c>
      <c r="F9" s="2"/>
      <c r="G9" s="7" t="s">
        <v>161</v>
      </c>
      <c r="H9" s="11" t="str">
        <f>+LongIP2Dotted(Dotted2LongIP(#REF!)+238)</f>
        <v>0.0.0.0</v>
      </c>
      <c r="I9" s="2"/>
      <c r="J9" s="7" t="s">
        <v>541</v>
      </c>
      <c r="K9" s="11" t="str">
        <f>+LongIP2Dotted(Dotted2LongIP(Variables!E5)+398)</f>
        <v>10.100.1.142</v>
      </c>
    </row>
    <row r="10" spans="1:11" x14ac:dyDescent="0.45">
      <c r="A10" s="7" t="s">
        <v>162</v>
      </c>
      <c r="B10" s="11" t="s">
        <v>168</v>
      </c>
      <c r="C10" s="2"/>
      <c r="D10" s="7" t="s">
        <v>162</v>
      </c>
      <c r="E10" s="11" t="s">
        <v>168</v>
      </c>
      <c r="F10" s="2"/>
      <c r="G10" s="7" t="s">
        <v>162</v>
      </c>
      <c r="H10" s="11" t="s">
        <v>168</v>
      </c>
      <c r="I10" s="2"/>
      <c r="J10" s="7" t="s">
        <v>542</v>
      </c>
      <c r="K10" s="11" t="s">
        <v>168</v>
      </c>
    </row>
    <row r="11" spans="1:11" ht="14.65" thickBot="1" x14ac:dyDescent="0.5">
      <c r="A11" s="7"/>
      <c r="B11" s="9"/>
      <c r="C11" s="2"/>
      <c r="D11" s="7"/>
      <c r="E11" s="9"/>
      <c r="F11" s="2"/>
      <c r="G11" s="7"/>
      <c r="H11" s="9"/>
      <c r="I11" s="2"/>
      <c r="J11" s="7"/>
      <c r="K11" s="9"/>
    </row>
    <row r="12" spans="1:11" ht="15" thickTop="1" thickBot="1" x14ac:dyDescent="0.5">
      <c r="A12" s="31" t="s">
        <v>164</v>
      </c>
      <c r="B12" s="31"/>
      <c r="C12" s="2"/>
      <c r="D12" s="35" t="s">
        <v>553</v>
      </c>
      <c r="E12" s="36"/>
      <c r="F12" s="2"/>
      <c r="G12" s="31" t="s">
        <v>164</v>
      </c>
      <c r="H12" s="31"/>
      <c r="I12" s="2"/>
      <c r="J12" s="31" t="s">
        <v>543</v>
      </c>
      <c r="K12" s="31"/>
    </row>
    <row r="13" spans="1:11" ht="14.65" thickTop="1" x14ac:dyDescent="0.45">
      <c r="A13" s="7" t="s">
        <v>165</v>
      </c>
      <c r="B13" s="11" t="str">
        <f>+LongIP2Dotted(Dotted2LongIP(Variables!E2)+254)</f>
        <v>172.16.1.254</v>
      </c>
      <c r="C13" s="2"/>
      <c r="D13" s="7" t="s">
        <v>534</v>
      </c>
      <c r="E13" s="11" t="str">
        <f>+LongIP2Dotted(Dotted2LongIP(Variables!E3)+126)</f>
        <v>192.168.1.126</v>
      </c>
      <c r="F13" s="2"/>
      <c r="G13" s="7" t="s">
        <v>165</v>
      </c>
      <c r="H13" s="11" t="str">
        <f>+LongIP2Dotted(Dotted2LongIP(#REF!)+254)</f>
        <v>0.0.0.0</v>
      </c>
      <c r="I13" s="2"/>
      <c r="J13" s="7" t="s">
        <v>534</v>
      </c>
      <c r="K13" s="11" t="str">
        <f>+LongIP2Dotted(Dotted2LongIP(Variables!E5)+254)</f>
        <v>10.100.0.254</v>
      </c>
    </row>
    <row r="14" spans="1:11" x14ac:dyDescent="0.45">
      <c r="A14" s="7" t="s">
        <v>199</v>
      </c>
      <c r="B14" s="11" t="s">
        <v>168</v>
      </c>
      <c r="C14" s="2"/>
      <c r="D14" s="7" t="s">
        <v>554</v>
      </c>
      <c r="E14" s="11" t="s">
        <v>555</v>
      </c>
      <c r="F14" s="2"/>
      <c r="G14" s="7" t="s">
        <v>199</v>
      </c>
      <c r="H14" s="11" t="s">
        <v>168</v>
      </c>
      <c r="I14" s="2"/>
      <c r="J14" s="7" t="s">
        <v>545</v>
      </c>
      <c r="K14" s="11" t="s">
        <v>544</v>
      </c>
    </row>
    <row r="15" spans="1:11" x14ac:dyDescent="0.45">
      <c r="A15" s="7" t="s">
        <v>166</v>
      </c>
      <c r="B15" s="11" t="str">
        <f>+LongIP2Dotted(Dotted2LongIP(Variables!E2)+253)</f>
        <v>172.16.1.253</v>
      </c>
      <c r="C15" s="2"/>
      <c r="D15" s="24"/>
      <c r="E15" s="25"/>
      <c r="F15" s="2"/>
      <c r="G15" s="7" t="s">
        <v>166</v>
      </c>
      <c r="H15" s="11" t="str">
        <f>+LongIP2Dotted(Dotted2LongIP(#REF!)+253)</f>
        <v>0.0.0.0</v>
      </c>
      <c r="I15" s="2"/>
      <c r="J15" s="7" t="s">
        <v>535</v>
      </c>
      <c r="K15" s="11" t="str">
        <f>+LongIP2Dotted(Dotted2LongIP(Variables!E5)+350)</f>
        <v>10.100.1.94</v>
      </c>
    </row>
    <row r="16" spans="1:11" ht="14.65" thickBot="1" x14ac:dyDescent="0.5">
      <c r="A16" s="7"/>
      <c r="B16" s="9"/>
      <c r="C16" s="2"/>
      <c r="D16" s="37" t="s">
        <v>201</v>
      </c>
      <c r="E16" s="38"/>
      <c r="F16" s="2"/>
      <c r="G16" s="7"/>
      <c r="H16" s="9"/>
      <c r="I16" s="2"/>
      <c r="J16" s="7" t="s">
        <v>546</v>
      </c>
      <c r="K16" s="11" t="s">
        <v>551</v>
      </c>
    </row>
    <row r="17" spans="1:11" ht="15" thickTop="1" thickBot="1" x14ac:dyDescent="0.5">
      <c r="A17" s="7" t="s">
        <v>167</v>
      </c>
      <c r="B17" s="11" t="str">
        <f>+LongIP2Dotted(Dotted2LongIP(Variables!E2)+246)</f>
        <v>172.16.1.246</v>
      </c>
      <c r="C17" s="2"/>
      <c r="D17" s="14" t="s">
        <v>202</v>
      </c>
      <c r="E17" s="18" t="str">
        <f>+LongIP2Dotted(Dotted2LongIP(E7)-1)</f>
        <v>192.168.1.221</v>
      </c>
      <c r="F17" s="2"/>
      <c r="G17" s="7" t="s">
        <v>167</v>
      </c>
      <c r="H17" s="11" t="str">
        <f>+LongIP2Dotted(Dotted2LongIP(#REF!)+246)</f>
        <v>0.0.0.0</v>
      </c>
      <c r="I17" s="2"/>
      <c r="J17" s="7" t="s">
        <v>536</v>
      </c>
      <c r="K17" s="11" t="str">
        <f>+LongIP2Dotted(Dotted2LongIP(Variables!E5)+366)</f>
        <v>10.100.1.110</v>
      </c>
    </row>
    <row r="18" spans="1:11" ht="15" thickTop="1" thickBot="1" x14ac:dyDescent="0.5">
      <c r="A18" s="7" t="s">
        <v>200</v>
      </c>
      <c r="B18" s="11" t="s">
        <v>168</v>
      </c>
      <c r="C18" s="2"/>
      <c r="D18" s="14" t="s">
        <v>203</v>
      </c>
      <c r="E18" s="18" t="str">
        <f>E8</f>
        <v>255.255.255.192</v>
      </c>
      <c r="F18" s="2"/>
      <c r="G18" s="7" t="s">
        <v>200</v>
      </c>
      <c r="H18" s="11" t="s">
        <v>168</v>
      </c>
      <c r="I18" s="2"/>
      <c r="J18" s="7" t="s">
        <v>547</v>
      </c>
      <c r="K18" s="11" t="s">
        <v>168</v>
      </c>
    </row>
    <row r="19" spans="1:11" ht="15" thickTop="1" thickBot="1" x14ac:dyDescent="0.5">
      <c r="A19" s="12"/>
      <c r="B19" s="19"/>
      <c r="C19" s="2"/>
      <c r="D19" s="14" t="s">
        <v>204</v>
      </c>
      <c r="E19" s="18" t="str">
        <f>+LongIP2Dotted(Dotted2LongIP(#REF!)-1)</f>
        <v>0.0.0.0</v>
      </c>
      <c r="F19" s="2"/>
      <c r="G19" s="12"/>
      <c r="H19" s="19"/>
      <c r="I19" s="2"/>
      <c r="J19" s="7" t="s">
        <v>537</v>
      </c>
      <c r="K19" s="21" t="str">
        <f>+LongIP2Dotted(Dotted2LongIP(Variables!E5)+382)</f>
        <v>10.100.1.126</v>
      </c>
    </row>
    <row r="20" spans="1:11" ht="15" thickTop="1" thickBot="1" x14ac:dyDescent="0.5">
      <c r="A20" s="27" t="s">
        <v>201</v>
      </c>
      <c r="B20" s="27"/>
      <c r="C20" s="2"/>
      <c r="D20" s="14" t="s">
        <v>205</v>
      </c>
      <c r="E20" s="18"/>
      <c r="F20" s="2"/>
      <c r="G20" s="27" t="s">
        <v>201</v>
      </c>
      <c r="H20" s="27"/>
      <c r="I20" s="2"/>
      <c r="J20" s="7" t="s">
        <v>548</v>
      </c>
      <c r="K20" s="21" t="s">
        <v>168</v>
      </c>
    </row>
    <row r="21" spans="1:11" ht="15" thickTop="1" thickBot="1" x14ac:dyDescent="0.5">
      <c r="A21" s="14" t="s">
        <v>202</v>
      </c>
      <c r="B21" s="18" t="str">
        <f>+LongIP2Dotted(Dotted2LongIP(B7)-1)</f>
        <v>172.16.1.189</v>
      </c>
      <c r="C21" s="2"/>
      <c r="D21" s="15"/>
      <c r="E21" s="16"/>
      <c r="F21" s="2"/>
      <c r="G21" s="14" t="s">
        <v>202</v>
      </c>
      <c r="H21" s="18" t="str">
        <f>+LongIP2Dotted(Dotted2LongIP(H7)-1)</f>
        <v>0.0.0.61</v>
      </c>
      <c r="I21" s="2"/>
      <c r="J21" s="7" t="s">
        <v>538</v>
      </c>
      <c r="K21" s="11" t="str">
        <f>+LongIP2Dotted(Dotted2LongIP(Variables!E5)+390)</f>
        <v>10.100.1.134</v>
      </c>
    </row>
    <row r="22" spans="1:11" ht="15" thickTop="1" thickBot="1" x14ac:dyDescent="0.5">
      <c r="A22" s="14" t="s">
        <v>203</v>
      </c>
      <c r="B22" s="18" t="str">
        <f>B8</f>
        <v>255.255.255.192</v>
      </c>
      <c r="C22" s="2"/>
      <c r="D22" s="35" t="s">
        <v>299</v>
      </c>
      <c r="E22" s="36"/>
      <c r="F22" s="2"/>
      <c r="G22" s="14" t="s">
        <v>203</v>
      </c>
      <c r="H22" s="18" t="str">
        <f>H8</f>
        <v>255.255.255.192</v>
      </c>
      <c r="I22" s="2"/>
      <c r="J22" s="7" t="s">
        <v>549</v>
      </c>
      <c r="K22" s="11" t="s">
        <v>168</v>
      </c>
    </row>
    <row r="23" spans="1:11" ht="15" thickTop="1" thickBot="1" x14ac:dyDescent="0.5">
      <c r="A23" s="14" t="s">
        <v>204</v>
      </c>
      <c r="B23" s="18" t="str">
        <f>+LongIP2Dotted(Dotted2LongIP(B17)-1)</f>
        <v>172.16.1.245</v>
      </c>
      <c r="C23" s="2"/>
      <c r="D23" s="14" t="s">
        <v>202</v>
      </c>
      <c r="E23" s="18" t="str">
        <f>+LongIP2Dotted(Dotted2LongIP(E7)-2)</f>
        <v>192.168.1.220</v>
      </c>
      <c r="F23" s="2"/>
      <c r="G23" s="14" t="s">
        <v>204</v>
      </c>
      <c r="H23" s="18" t="str">
        <f>+LongIP2Dotted(Dotted2LongIP(H17)-1)</f>
        <v>0.0.0.0</v>
      </c>
      <c r="I23" s="2"/>
      <c r="J23" s="7" t="s">
        <v>539</v>
      </c>
      <c r="K23" s="11" t="s">
        <v>168</v>
      </c>
    </row>
    <row r="24" spans="1:11" ht="15" thickTop="1" thickBot="1" x14ac:dyDescent="0.5">
      <c r="A24" s="14" t="s">
        <v>205</v>
      </c>
      <c r="B24" s="18" t="str">
        <f>B18</f>
        <v>255.255.255.248</v>
      </c>
      <c r="C24" s="2"/>
      <c r="D24" s="14" t="s">
        <v>203</v>
      </c>
      <c r="E24" s="18" t="str">
        <f>E8</f>
        <v>255.255.255.192</v>
      </c>
      <c r="F24" s="2"/>
      <c r="G24" s="14" t="s">
        <v>205</v>
      </c>
      <c r="H24" s="18" t="str">
        <f>H18</f>
        <v>255.255.255.248</v>
      </c>
      <c r="I24" s="2"/>
      <c r="J24" s="7" t="s">
        <v>550</v>
      </c>
      <c r="K24" s="11" t="s">
        <v>552</v>
      </c>
    </row>
    <row r="25" spans="1:11" ht="15" thickTop="1" thickBot="1" x14ac:dyDescent="0.5">
      <c r="A25" s="15"/>
      <c r="B25" s="16"/>
      <c r="C25" s="2"/>
      <c r="D25" s="14" t="s">
        <v>301</v>
      </c>
      <c r="E25" s="18" t="str">
        <f>E7</f>
        <v>192.168.1.222</v>
      </c>
      <c r="F25" s="2"/>
      <c r="G25" s="15"/>
      <c r="H25" s="16"/>
      <c r="I25" s="2"/>
      <c r="J25" s="12"/>
      <c r="K25" s="19"/>
    </row>
    <row r="26" spans="1:11" ht="15" thickTop="1" thickBot="1" x14ac:dyDescent="0.5">
      <c r="A26" s="26" t="s">
        <v>299</v>
      </c>
      <c r="B26" s="26"/>
      <c r="C26" s="2"/>
      <c r="D26" s="14"/>
      <c r="E26" s="15"/>
      <c r="F26" s="2"/>
      <c r="G26" s="26" t="s">
        <v>299</v>
      </c>
      <c r="H26" s="26"/>
      <c r="I26" s="2"/>
      <c r="J26" s="27" t="s">
        <v>201</v>
      </c>
      <c r="K26" s="27"/>
    </row>
    <row r="27" spans="1:11" ht="15" thickTop="1" thickBot="1" x14ac:dyDescent="0.5">
      <c r="A27" s="14" t="s">
        <v>202</v>
      </c>
      <c r="B27" s="18" t="str">
        <f>+LongIP2Dotted(Dotted2LongIP(B7)-2)</f>
        <v>172.16.1.188</v>
      </c>
      <c r="C27" s="2"/>
      <c r="D27" s="14" t="s">
        <v>202</v>
      </c>
      <c r="E27" s="18" t="str">
        <f>+LongIP2Dotted(Dotted2LongIP(E7)-2)</f>
        <v>192.168.1.220</v>
      </c>
      <c r="F27" s="2"/>
      <c r="G27" s="14" t="s">
        <v>202</v>
      </c>
      <c r="H27" s="18" t="str">
        <f>+LongIP2Dotted(Dotted2LongIP(H7)-2)</f>
        <v>0.0.0.60</v>
      </c>
      <c r="I27" s="2"/>
      <c r="J27" s="14" t="s">
        <v>202</v>
      </c>
      <c r="K27" s="18" t="str">
        <f>+LongIP2Dotted(Dotted2LongIP(K7)-1)</f>
        <v>10.100.1.61</v>
      </c>
    </row>
    <row r="28" spans="1:11" ht="15" thickTop="1" thickBot="1" x14ac:dyDescent="0.5">
      <c r="A28" s="14" t="s">
        <v>203</v>
      </c>
      <c r="B28" s="18" t="str">
        <f>B8</f>
        <v>255.255.255.192</v>
      </c>
      <c r="C28" s="2"/>
      <c r="D28" s="14" t="s">
        <v>203</v>
      </c>
      <c r="E28" s="18" t="str">
        <f>E8</f>
        <v>255.255.255.192</v>
      </c>
      <c r="F28" s="2"/>
      <c r="G28" s="14" t="s">
        <v>203</v>
      </c>
      <c r="H28" s="18" t="str">
        <f>H8</f>
        <v>255.255.255.192</v>
      </c>
      <c r="I28" s="2"/>
      <c r="J28" s="14" t="s">
        <v>203</v>
      </c>
      <c r="K28" s="18" t="str">
        <f>K8</f>
        <v>255.255.255.192</v>
      </c>
    </row>
    <row r="29" spans="1:11" ht="15" thickTop="1" thickBot="1" x14ac:dyDescent="0.5">
      <c r="A29" s="14" t="s">
        <v>301</v>
      </c>
      <c r="B29" s="18" t="str">
        <f>B7</f>
        <v>172.16.1.190</v>
      </c>
      <c r="C29" s="2"/>
      <c r="D29" s="14" t="s">
        <v>301</v>
      </c>
      <c r="E29" s="18" t="str">
        <f>E7</f>
        <v>192.168.1.222</v>
      </c>
      <c r="F29" s="2"/>
      <c r="G29" s="14" t="s">
        <v>301</v>
      </c>
      <c r="H29" s="18" t="str">
        <f>H7</f>
        <v>0.0.0.62</v>
      </c>
      <c r="I29" s="2"/>
      <c r="J29" s="14" t="s">
        <v>204</v>
      </c>
      <c r="K29" s="18" t="str">
        <f>+LongIP2Dotted(Dotted2LongIP(K21)-1)</f>
        <v>10.100.1.133</v>
      </c>
    </row>
    <row r="30" spans="1:11" ht="15" thickTop="1" thickBot="1" x14ac:dyDescent="0.5">
      <c r="A30" s="14"/>
      <c r="B30" s="15"/>
      <c r="C30" s="2"/>
      <c r="D30" s="14"/>
      <c r="E30" s="15"/>
      <c r="F30" s="2"/>
      <c r="G30" s="14"/>
      <c r="H30" s="15"/>
      <c r="I30" s="2"/>
      <c r="J30" s="14" t="s">
        <v>205</v>
      </c>
      <c r="K30" s="18" t="str">
        <f>K23</f>
        <v>255.255.255.248</v>
      </c>
    </row>
    <row r="31" spans="1:11" ht="15" thickTop="1" thickBot="1" x14ac:dyDescent="0.5">
      <c r="A31" s="22"/>
      <c r="B31" s="23"/>
      <c r="C31" s="2"/>
      <c r="D31" s="22"/>
      <c r="E31" s="23"/>
      <c r="F31" s="2"/>
      <c r="G31" s="22"/>
      <c r="H31" s="23"/>
      <c r="I31" s="2"/>
      <c r="J31" s="15"/>
      <c r="K31" s="16"/>
    </row>
    <row r="32" spans="1:11" ht="15" thickTop="1" thickBot="1" x14ac:dyDescent="0.5">
      <c r="A32" s="22"/>
      <c r="B32" s="23"/>
      <c r="C32" s="2"/>
      <c r="D32" s="22"/>
      <c r="E32" s="23"/>
      <c r="F32" s="2"/>
      <c r="G32" s="22"/>
      <c r="H32" s="23"/>
      <c r="I32" s="2"/>
      <c r="J32" s="26" t="s">
        <v>299</v>
      </c>
      <c r="K32" s="26"/>
    </row>
    <row r="33" spans="1:11" ht="15" thickTop="1" thickBot="1" x14ac:dyDescent="0.5">
      <c r="A33" s="22"/>
      <c r="B33" s="23"/>
      <c r="C33" s="2"/>
      <c r="D33" s="22"/>
      <c r="E33" s="23"/>
      <c r="F33" s="2"/>
      <c r="G33" s="22"/>
      <c r="H33" s="23"/>
      <c r="I33" s="2"/>
      <c r="J33" s="14" t="s">
        <v>202</v>
      </c>
      <c r="K33" s="18" t="str">
        <f>+LongIP2Dotted(Dotted2LongIP(K7)-2)</f>
        <v>10.100.1.60</v>
      </c>
    </row>
    <row r="34" spans="1:11" ht="15" thickTop="1" thickBot="1" x14ac:dyDescent="0.5">
      <c r="A34" s="22"/>
      <c r="B34" s="23"/>
      <c r="C34" s="2"/>
      <c r="D34" s="22"/>
      <c r="E34" s="23"/>
      <c r="F34" s="2"/>
      <c r="G34" s="22"/>
      <c r="H34" s="23"/>
      <c r="I34" s="2"/>
      <c r="J34" s="14" t="s">
        <v>203</v>
      </c>
      <c r="K34" s="18" t="str">
        <f>K8</f>
        <v>255.255.255.192</v>
      </c>
    </row>
    <row r="35" spans="1:11" ht="15" thickTop="1" thickBot="1" x14ac:dyDescent="0.5">
      <c r="A35" s="22"/>
      <c r="B35" s="23"/>
      <c r="C35" s="2"/>
      <c r="D35" s="22"/>
      <c r="E35" s="23"/>
      <c r="F35" s="2"/>
      <c r="G35" s="22"/>
      <c r="H35" s="23"/>
      <c r="I35" s="2"/>
      <c r="J35" s="14" t="s">
        <v>301</v>
      </c>
      <c r="K35" s="18" t="str">
        <f>K7</f>
        <v>10.100.1.62</v>
      </c>
    </row>
    <row r="36" spans="1:11" ht="15" thickTop="1" thickBot="1" x14ac:dyDescent="0.5">
      <c r="A36" s="22"/>
      <c r="B36" s="23"/>
      <c r="C36" s="2"/>
      <c r="D36" s="22"/>
      <c r="E36" s="23"/>
      <c r="F36" s="2"/>
      <c r="G36" s="22"/>
      <c r="H36" s="23"/>
      <c r="I36" s="2"/>
      <c r="J36" s="14"/>
      <c r="K36" s="15"/>
    </row>
    <row r="37" spans="1:11" ht="14.65" thickTop="1" x14ac:dyDescent="0.45"/>
  </sheetData>
  <mergeCells count="20">
    <mergeCell ref="D22:E22"/>
    <mergeCell ref="A26:B26"/>
    <mergeCell ref="G26:H26"/>
    <mergeCell ref="J26:K26"/>
    <mergeCell ref="J32:K32"/>
    <mergeCell ref="A12:B12"/>
    <mergeCell ref="D12:E12"/>
    <mergeCell ref="G12:H12"/>
    <mergeCell ref="J12:K12"/>
    <mergeCell ref="D16:E16"/>
    <mergeCell ref="A20:B20"/>
    <mergeCell ref="G20:H20"/>
    <mergeCell ref="A1:B2"/>
    <mergeCell ref="D1:E2"/>
    <mergeCell ref="G1:H2"/>
    <mergeCell ref="J1:K2"/>
    <mergeCell ref="A3:B3"/>
    <mergeCell ref="D3:E3"/>
    <mergeCell ref="G3:H3"/>
    <mergeCell ref="J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C7CE2-B1EC-45B1-8242-925876DA8068}">
  <sheetPr codeName="Sheet2">
    <tabColor theme="1"/>
  </sheetPr>
  <dimension ref="A1:A390"/>
  <sheetViews>
    <sheetView topLeftCell="A322" workbookViewId="0">
      <selection activeCell="E33" sqref="E33"/>
    </sheetView>
  </sheetViews>
  <sheetFormatPr defaultColWidth="8.796875" defaultRowHeight="14.25" x14ac:dyDescent="0.45"/>
  <cols>
    <col min="1" max="1" width="115.796875" customWidth="1"/>
  </cols>
  <sheetData>
    <row r="1" spans="1:1" x14ac:dyDescent="0.45">
      <c r="A1" t="s">
        <v>2</v>
      </c>
    </row>
    <row r="2" spans="1:1" x14ac:dyDescent="0.45">
      <c r="A2" t="s">
        <v>3</v>
      </c>
    </row>
    <row r="3" spans="1:1" x14ac:dyDescent="0.45">
      <c r="A3" t="s">
        <v>4</v>
      </c>
    </row>
    <row r="4" spans="1:1" x14ac:dyDescent="0.45">
      <c r="A4" t="s">
        <v>5</v>
      </c>
    </row>
    <row r="5" spans="1:1" x14ac:dyDescent="0.45">
      <c r="A5" t="s">
        <v>1</v>
      </c>
    </row>
    <row r="6" spans="1:1" x14ac:dyDescent="0.45">
      <c r="A6" s="1" t="str">
        <f xml:space="preserve"> "hostname FCAN-" &amp; Hostname &amp; "-TR"</f>
        <v>hostname FCAN-100-TR</v>
      </c>
    </row>
    <row r="7" spans="1:1" x14ac:dyDescent="0.45">
      <c r="A7" t="s">
        <v>1</v>
      </c>
    </row>
    <row r="8" spans="1:1" x14ac:dyDescent="0.45">
      <c r="A8" t="s">
        <v>6</v>
      </c>
    </row>
    <row r="9" spans="1:1" x14ac:dyDescent="0.45">
      <c r="A9" t="s">
        <v>7</v>
      </c>
    </row>
    <row r="10" spans="1:1" x14ac:dyDescent="0.45">
      <c r="A10" t="s">
        <v>1</v>
      </c>
    </row>
    <row r="11" spans="1:1" x14ac:dyDescent="0.45">
      <c r="A11" t="s">
        <v>1</v>
      </c>
    </row>
    <row r="12" spans="1:1" x14ac:dyDescent="0.45">
      <c r="A12" s="1" t="str">
        <f>"enable secret " &amp; Enable_Secret</f>
        <v>enable secret cisco</v>
      </c>
    </row>
    <row r="13" spans="1:1" x14ac:dyDescent="0.45">
      <c r="A13" t="s">
        <v>1</v>
      </c>
    </row>
    <row r="14" spans="1:1" x14ac:dyDescent="0.45">
      <c r="A14" t="s">
        <v>8</v>
      </c>
    </row>
    <row r="15" spans="1:1" x14ac:dyDescent="0.45">
      <c r="A15" t="s">
        <v>1</v>
      </c>
    </row>
    <row r="16" spans="1:1" x14ac:dyDescent="0.45">
      <c r="A16" t="s">
        <v>1</v>
      </c>
    </row>
    <row r="17" spans="1:1" x14ac:dyDescent="0.45">
      <c r="A17" t="s">
        <v>9</v>
      </c>
    </row>
    <row r="18" spans="1:1" x14ac:dyDescent="0.45">
      <c r="A18" t="s">
        <v>10</v>
      </c>
    </row>
    <row r="19" spans="1:1" x14ac:dyDescent="0.45">
      <c r="A19" t="s">
        <v>11</v>
      </c>
    </row>
    <row r="20" spans="1:1" x14ac:dyDescent="0.45">
      <c r="A20" t="s">
        <v>12</v>
      </c>
    </row>
    <row r="21" spans="1:1" x14ac:dyDescent="0.45">
      <c r="A21" t="s">
        <v>1</v>
      </c>
    </row>
    <row r="22" spans="1:1" x14ac:dyDescent="0.45">
      <c r="A22" t="s">
        <v>1</v>
      </c>
    </row>
    <row r="23" spans="1:1" x14ac:dyDescent="0.45">
      <c r="A23" t="s">
        <v>1</v>
      </c>
    </row>
    <row r="24" spans="1:1" x14ac:dyDescent="0.45">
      <c r="A24" t="s">
        <v>1</v>
      </c>
    </row>
    <row r="25" spans="1:1" x14ac:dyDescent="0.45">
      <c r="A25" t="s">
        <v>1</v>
      </c>
    </row>
    <row r="26" spans="1:1" x14ac:dyDescent="0.45">
      <c r="A26" t="s">
        <v>1</v>
      </c>
    </row>
    <row r="27" spans="1:1" x14ac:dyDescent="0.45">
      <c r="A27" t="s">
        <v>13</v>
      </c>
    </row>
    <row r="28" spans="1:1" x14ac:dyDescent="0.45">
      <c r="A28" t="s">
        <v>14</v>
      </c>
    </row>
    <row r="29" spans="1:1" x14ac:dyDescent="0.45">
      <c r="A29" t="s">
        <v>15</v>
      </c>
    </row>
    <row r="30" spans="1:1" x14ac:dyDescent="0.45">
      <c r="A30" t="s">
        <v>16</v>
      </c>
    </row>
    <row r="31" spans="1:1" x14ac:dyDescent="0.45">
      <c r="A31" t="s">
        <v>17</v>
      </c>
    </row>
    <row r="32" spans="1:1" x14ac:dyDescent="0.45">
      <c r="A32" t="s">
        <v>18</v>
      </c>
    </row>
    <row r="33" spans="1:1" x14ac:dyDescent="0.45">
      <c r="A33" t="s">
        <v>19</v>
      </c>
    </row>
    <row r="34" spans="1:1" x14ac:dyDescent="0.45">
      <c r="A34" t="s">
        <v>20</v>
      </c>
    </row>
    <row r="35" spans="1:1" x14ac:dyDescent="0.45">
      <c r="A35" t="s">
        <v>21</v>
      </c>
    </row>
    <row r="36" spans="1:1" x14ac:dyDescent="0.45">
      <c r="A36" t="s">
        <v>22</v>
      </c>
    </row>
    <row r="37" spans="1:1" x14ac:dyDescent="0.45">
      <c r="A37" t="s">
        <v>23</v>
      </c>
    </row>
    <row r="38" spans="1:1" x14ac:dyDescent="0.45">
      <c r="A38" t="s">
        <v>24</v>
      </c>
    </row>
    <row r="39" spans="1:1" x14ac:dyDescent="0.45">
      <c r="A39" t="s">
        <v>25</v>
      </c>
    </row>
    <row r="40" spans="1:1" x14ac:dyDescent="0.45">
      <c r="A40" t="s">
        <v>26</v>
      </c>
    </row>
    <row r="41" spans="1:1" x14ac:dyDescent="0.45">
      <c r="A41" t="s">
        <v>1</v>
      </c>
    </row>
    <row r="42" spans="1:1" x14ac:dyDescent="0.45">
      <c r="A42" t="s">
        <v>1</v>
      </c>
    </row>
    <row r="43" spans="1:1" x14ac:dyDescent="0.45">
      <c r="A43" t="s">
        <v>1</v>
      </c>
    </row>
    <row r="44" spans="1:1" x14ac:dyDescent="0.45">
      <c r="A44" t="s">
        <v>1</v>
      </c>
    </row>
    <row r="45" spans="1:1" x14ac:dyDescent="0.45">
      <c r="A45" t="s">
        <v>1</v>
      </c>
    </row>
    <row r="46" spans="1:1" x14ac:dyDescent="0.45">
      <c r="A46" t="s">
        <v>1</v>
      </c>
    </row>
    <row r="47" spans="1:1" x14ac:dyDescent="0.45">
      <c r="A47" t="s">
        <v>1</v>
      </c>
    </row>
    <row r="48" spans="1:1" x14ac:dyDescent="0.45">
      <c r="A48" t="s">
        <v>1</v>
      </c>
    </row>
    <row r="49" spans="1:1" x14ac:dyDescent="0.45">
      <c r="A49" t="s">
        <v>1</v>
      </c>
    </row>
    <row r="50" spans="1:1" x14ac:dyDescent="0.45">
      <c r="A50" t="s">
        <v>1</v>
      </c>
    </row>
    <row r="53" spans="1:1" x14ac:dyDescent="0.45">
      <c r="A53" t="s">
        <v>1</v>
      </c>
    </row>
    <row r="54" spans="1:1" x14ac:dyDescent="0.45">
      <c r="A54" t="s">
        <v>27</v>
      </c>
    </row>
    <row r="55" spans="1:1" x14ac:dyDescent="0.45">
      <c r="A55" t="s">
        <v>28</v>
      </c>
    </row>
    <row r="56" spans="1:1" x14ac:dyDescent="0.45">
      <c r="A56" t="s">
        <v>1</v>
      </c>
    </row>
    <row r="57" spans="1:1" x14ac:dyDescent="0.45">
      <c r="A57" t="s">
        <v>29</v>
      </c>
    </row>
    <row r="58" spans="1:1" x14ac:dyDescent="0.45">
      <c r="A58" t="s">
        <v>30</v>
      </c>
    </row>
    <row r="59" spans="1:1" x14ac:dyDescent="0.45">
      <c r="A59" t="s">
        <v>1</v>
      </c>
    </row>
    <row r="60" spans="1:1" x14ac:dyDescent="0.45">
      <c r="A60" t="s">
        <v>31</v>
      </c>
    </row>
    <row r="61" spans="1:1" x14ac:dyDescent="0.45">
      <c r="A61" t="s">
        <v>1</v>
      </c>
    </row>
    <row r="62" spans="1:1" x14ac:dyDescent="0.45">
      <c r="A62" t="s">
        <v>1</v>
      </c>
    </row>
    <row r="63" spans="1:1" x14ac:dyDescent="0.45">
      <c r="A63" t="s">
        <v>1</v>
      </c>
    </row>
    <row r="64" spans="1:1" x14ac:dyDescent="0.45">
      <c r="A64" s="1" t="str">
        <f>"ip domain name " &amp; Domain_Name</f>
        <v>ip domain name TNET.local</v>
      </c>
    </row>
    <row r="65" spans="1:1" x14ac:dyDescent="0.45">
      <c r="A65" t="s">
        <v>32</v>
      </c>
    </row>
    <row r="66" spans="1:1" x14ac:dyDescent="0.45">
      <c r="A66" t="s">
        <v>33</v>
      </c>
    </row>
    <row r="67" spans="1:1" x14ac:dyDescent="0.45">
      <c r="A67" t="s">
        <v>1</v>
      </c>
    </row>
    <row r="68" spans="1:1" x14ac:dyDescent="0.45">
      <c r="A68" t="s">
        <v>34</v>
      </c>
    </row>
    <row r="69" spans="1:1" x14ac:dyDescent="0.45">
      <c r="A69" t="s">
        <v>1</v>
      </c>
    </row>
    <row r="70" spans="1:1" x14ac:dyDescent="0.45">
      <c r="A70" t="s">
        <v>1</v>
      </c>
    </row>
    <row r="71" spans="1:1" x14ac:dyDescent="0.45">
      <c r="A71" t="s">
        <v>1</v>
      </c>
    </row>
    <row r="72" spans="1:1" x14ac:dyDescent="0.45">
      <c r="A72" t="s">
        <v>1</v>
      </c>
    </row>
    <row r="73" spans="1:1" x14ac:dyDescent="0.45">
      <c r="A73" t="s">
        <v>1</v>
      </c>
    </row>
    <row r="74" spans="1:1" x14ac:dyDescent="0.45">
      <c r="A74" t="s">
        <v>1</v>
      </c>
    </row>
    <row r="75" spans="1:1" x14ac:dyDescent="0.45">
      <c r="A75" t="s">
        <v>1</v>
      </c>
    </row>
    <row r="76" spans="1:1" x14ac:dyDescent="0.45">
      <c r="A76" t="s">
        <v>1</v>
      </c>
    </row>
    <row r="77" spans="1:1" x14ac:dyDescent="0.45">
      <c r="A77" t="s">
        <v>1</v>
      </c>
    </row>
    <row r="78" spans="1:1" x14ac:dyDescent="0.45">
      <c r="A78" t="s">
        <v>35</v>
      </c>
    </row>
    <row r="79" spans="1:1" x14ac:dyDescent="0.45">
      <c r="A79" t="s">
        <v>36</v>
      </c>
    </row>
    <row r="80" spans="1:1" x14ac:dyDescent="0.45">
      <c r="A80" t="s">
        <v>37</v>
      </c>
    </row>
    <row r="81" spans="1:1" x14ac:dyDescent="0.45">
      <c r="A81" t="s">
        <v>1</v>
      </c>
    </row>
    <row r="82" spans="1:1" x14ac:dyDescent="0.45">
      <c r="A82" t="s">
        <v>1</v>
      </c>
    </row>
    <row r="83" spans="1:1" x14ac:dyDescent="0.45">
      <c r="A83" t="s">
        <v>38</v>
      </c>
    </row>
    <row r="84" spans="1:1" x14ac:dyDescent="0.45">
      <c r="A84" t="s">
        <v>39</v>
      </c>
    </row>
    <row r="85" spans="1:1" x14ac:dyDescent="0.45">
      <c r="A85" t="s">
        <v>40</v>
      </c>
    </row>
    <row r="86" spans="1:1" x14ac:dyDescent="0.45">
      <c r="A86" t="s">
        <v>41</v>
      </c>
    </row>
    <row r="87" spans="1:1" x14ac:dyDescent="0.45">
      <c r="A87" s="1" t="str">
        <f>"username " &amp; Username &amp; " privilege " &amp; Priviledge_Level &amp; " password 0 " &amp; Password</f>
        <v>username cisco privilege 15 password 0 cisco</v>
      </c>
    </row>
    <row r="88" spans="1:1" x14ac:dyDescent="0.45">
      <c r="A88" t="s">
        <v>1</v>
      </c>
    </row>
    <row r="89" spans="1:1" x14ac:dyDescent="0.45">
      <c r="A89" t="s">
        <v>42</v>
      </c>
    </row>
    <row r="90" spans="1:1" x14ac:dyDescent="0.45">
      <c r="A90" t="s">
        <v>1</v>
      </c>
    </row>
    <row r="91" spans="1:1" x14ac:dyDescent="0.45">
      <c r="A91" t="s">
        <v>1</v>
      </c>
    </row>
    <row r="92" spans="1:1" x14ac:dyDescent="0.45">
      <c r="A92" t="s">
        <v>43</v>
      </c>
    </row>
    <row r="93" spans="1:1" x14ac:dyDescent="0.45">
      <c r="A93" t="s">
        <v>1</v>
      </c>
    </row>
    <row r="94" spans="1:1" x14ac:dyDescent="0.45">
      <c r="A94" t="s">
        <v>44</v>
      </c>
    </row>
    <row r="95" spans="1:1" x14ac:dyDescent="0.45">
      <c r="A95" t="s">
        <v>45</v>
      </c>
    </row>
    <row r="96" spans="1:1" x14ac:dyDescent="0.45">
      <c r="A96" t="s">
        <v>46</v>
      </c>
    </row>
    <row r="97" spans="1:1" x14ac:dyDescent="0.45">
      <c r="A97" t="s">
        <v>47</v>
      </c>
    </row>
    <row r="98" spans="1:1" x14ac:dyDescent="0.45">
      <c r="A98" t="s">
        <v>1</v>
      </c>
    </row>
    <row r="99" spans="1:1" x14ac:dyDescent="0.45">
      <c r="A99" t="s">
        <v>48</v>
      </c>
    </row>
    <row r="100" spans="1:1" x14ac:dyDescent="0.45">
      <c r="A100" t="s">
        <v>49</v>
      </c>
    </row>
    <row r="101" spans="1:1" x14ac:dyDescent="0.45">
      <c r="A101" t="s">
        <v>50</v>
      </c>
    </row>
    <row r="102" spans="1:1" x14ac:dyDescent="0.45">
      <c r="A102" t="s">
        <v>51</v>
      </c>
    </row>
    <row r="103" spans="1:1" x14ac:dyDescent="0.45">
      <c r="A103" t="s">
        <v>1</v>
      </c>
    </row>
    <row r="104" spans="1:1" x14ac:dyDescent="0.45">
      <c r="A104" t="s">
        <v>52</v>
      </c>
    </row>
    <row r="105" spans="1:1" x14ac:dyDescent="0.45">
      <c r="A105" t="s">
        <v>53</v>
      </c>
    </row>
    <row r="106" spans="1:1" x14ac:dyDescent="0.45">
      <c r="A106" t="s">
        <v>54</v>
      </c>
    </row>
    <row r="107" spans="1:1" x14ac:dyDescent="0.45">
      <c r="A107" s="1" t="str">
        <f xml:space="preserve"> "pre-shared-key " &amp; WGS_PSK</f>
        <v>pre-shared-key Key1</v>
      </c>
    </row>
    <row r="108" spans="1:1" x14ac:dyDescent="0.45">
      <c r="A108" t="s">
        <v>55</v>
      </c>
    </row>
    <row r="109" spans="1:1" x14ac:dyDescent="0.45">
      <c r="A109" t="s">
        <v>1</v>
      </c>
    </row>
    <row r="110" spans="1:1" x14ac:dyDescent="0.45">
      <c r="A110" t="s">
        <v>56</v>
      </c>
    </row>
    <row r="111" spans="1:1" x14ac:dyDescent="0.45">
      <c r="A111" t="s">
        <v>57</v>
      </c>
    </row>
    <row r="112" spans="1:1" x14ac:dyDescent="0.45">
      <c r="A112" t="s">
        <v>54</v>
      </c>
    </row>
    <row r="113" spans="1:1" x14ac:dyDescent="0.45">
      <c r="A113" s="1" t="str">
        <f xml:space="preserve"> "pre-shared-key " &amp; Commercial_PSK</f>
        <v>pre-shared-key Key2</v>
      </c>
    </row>
    <row r="114" spans="1:1" x14ac:dyDescent="0.45">
      <c r="A114" t="s">
        <v>55</v>
      </c>
    </row>
    <row r="115" spans="1:1" x14ac:dyDescent="0.45">
      <c r="A115" t="s">
        <v>1</v>
      </c>
    </row>
    <row r="116" spans="1:1" x14ac:dyDescent="0.45">
      <c r="A116" t="s">
        <v>1</v>
      </c>
    </row>
    <row r="117" spans="1:1" x14ac:dyDescent="0.45">
      <c r="A117" t="s">
        <v>58</v>
      </c>
    </row>
    <row r="118" spans="1:1" x14ac:dyDescent="0.45">
      <c r="A118" t="s">
        <v>59</v>
      </c>
    </row>
    <row r="119" spans="1:1" x14ac:dyDescent="0.45">
      <c r="A119" t="s">
        <v>60</v>
      </c>
    </row>
    <row r="120" spans="1:1" x14ac:dyDescent="0.45">
      <c r="A120" t="s">
        <v>61</v>
      </c>
    </row>
    <row r="121" spans="1:1" x14ac:dyDescent="0.45">
      <c r="A121" t="s">
        <v>62</v>
      </c>
    </row>
    <row r="122" spans="1:1" x14ac:dyDescent="0.45">
      <c r="A122" t="s">
        <v>63</v>
      </c>
    </row>
    <row r="123" spans="1:1" x14ac:dyDescent="0.45">
      <c r="A123" t="s">
        <v>64</v>
      </c>
    </row>
    <row r="124" spans="1:1" x14ac:dyDescent="0.45">
      <c r="A124" t="s">
        <v>65</v>
      </c>
    </row>
    <row r="125" spans="1:1" x14ac:dyDescent="0.45">
      <c r="A125" t="s">
        <v>66</v>
      </c>
    </row>
    <row r="126" spans="1:1" x14ac:dyDescent="0.45">
      <c r="A126" t="s">
        <v>1</v>
      </c>
    </row>
    <row r="127" spans="1:1" x14ac:dyDescent="0.45">
      <c r="A127" t="s">
        <v>67</v>
      </c>
    </row>
    <row r="128" spans="1:1" x14ac:dyDescent="0.45">
      <c r="A128" t="s">
        <v>68</v>
      </c>
    </row>
    <row r="129" spans="1:1" x14ac:dyDescent="0.45">
      <c r="A129" t="s">
        <v>60</v>
      </c>
    </row>
    <row r="130" spans="1:1" x14ac:dyDescent="0.45">
      <c r="A130" t="s">
        <v>61</v>
      </c>
    </row>
    <row r="131" spans="1:1" x14ac:dyDescent="0.45">
      <c r="A131" t="s">
        <v>62</v>
      </c>
    </row>
    <row r="132" spans="1:1" x14ac:dyDescent="0.45">
      <c r="A132" t="s">
        <v>69</v>
      </c>
    </row>
    <row r="133" spans="1:1" x14ac:dyDescent="0.45">
      <c r="A133" t="s">
        <v>64</v>
      </c>
    </row>
    <row r="134" spans="1:1" x14ac:dyDescent="0.45">
      <c r="A134" t="s">
        <v>65</v>
      </c>
    </row>
    <row r="135" spans="1:1" x14ac:dyDescent="0.45">
      <c r="A135" t="s">
        <v>70</v>
      </c>
    </row>
    <row r="136" spans="1:1" x14ac:dyDescent="0.45">
      <c r="A136" t="s">
        <v>1</v>
      </c>
    </row>
    <row r="137" spans="1:1" x14ac:dyDescent="0.45">
      <c r="A137" t="s">
        <v>1</v>
      </c>
    </row>
    <row r="138" spans="1:1" x14ac:dyDescent="0.45">
      <c r="A138" t="s">
        <v>1</v>
      </c>
    </row>
    <row r="139" spans="1:1" x14ac:dyDescent="0.45">
      <c r="A139" t="s">
        <v>71</v>
      </c>
    </row>
    <row r="140" spans="1:1" x14ac:dyDescent="0.45">
      <c r="A140" t="s">
        <v>72</v>
      </c>
    </row>
    <row r="141" spans="1:1" x14ac:dyDescent="0.45">
      <c r="A141" t="s">
        <v>1</v>
      </c>
    </row>
    <row r="142" spans="1:1" x14ac:dyDescent="0.45">
      <c r="A142" t="s">
        <v>73</v>
      </c>
    </row>
    <row r="143" spans="1:1" x14ac:dyDescent="0.45">
      <c r="A143" t="s">
        <v>72</v>
      </c>
    </row>
    <row r="144" spans="1:1" x14ac:dyDescent="0.45">
      <c r="A144" t="s">
        <v>1</v>
      </c>
    </row>
    <row r="145" spans="1:1" x14ac:dyDescent="0.45">
      <c r="A145" t="s">
        <v>74</v>
      </c>
    </row>
    <row r="146" spans="1:1" x14ac:dyDescent="0.45">
      <c r="A146" t="s">
        <v>75</v>
      </c>
    </row>
    <row r="147" spans="1:1" x14ac:dyDescent="0.45">
      <c r="A147" t="s">
        <v>76</v>
      </c>
    </row>
    <row r="148" spans="1:1" x14ac:dyDescent="0.45">
      <c r="A148" t="s">
        <v>77</v>
      </c>
    </row>
    <row r="149" spans="1:1" x14ac:dyDescent="0.45">
      <c r="A149" t="s">
        <v>78</v>
      </c>
    </row>
    <row r="150" spans="1:1" x14ac:dyDescent="0.45">
      <c r="A150" t="s">
        <v>79</v>
      </c>
    </row>
    <row r="151" spans="1:1" x14ac:dyDescent="0.45">
      <c r="A151" t="s">
        <v>80</v>
      </c>
    </row>
    <row r="152" spans="1:1" x14ac:dyDescent="0.45">
      <c r="A152" t="s">
        <v>81</v>
      </c>
    </row>
    <row r="153" spans="1:1" x14ac:dyDescent="0.45">
      <c r="A153" t="s">
        <v>1</v>
      </c>
    </row>
    <row r="154" spans="1:1" x14ac:dyDescent="0.45">
      <c r="A154" t="s">
        <v>82</v>
      </c>
    </row>
    <row r="155" spans="1:1" x14ac:dyDescent="0.45">
      <c r="A155" t="s">
        <v>75</v>
      </c>
    </row>
    <row r="156" spans="1:1" x14ac:dyDescent="0.45">
      <c r="A156" t="s">
        <v>76</v>
      </c>
    </row>
    <row r="157" spans="1:1" x14ac:dyDescent="0.45">
      <c r="A157" t="s">
        <v>77</v>
      </c>
    </row>
    <row r="158" spans="1:1" x14ac:dyDescent="0.45">
      <c r="A158" t="s">
        <v>78</v>
      </c>
    </row>
    <row r="159" spans="1:1" x14ac:dyDescent="0.45">
      <c r="A159" t="s">
        <v>83</v>
      </c>
    </row>
    <row r="160" spans="1:1" x14ac:dyDescent="0.45">
      <c r="A160" t="s">
        <v>80</v>
      </c>
    </row>
    <row r="161" spans="1:1" x14ac:dyDescent="0.45">
      <c r="A161" t="s">
        <v>84</v>
      </c>
    </row>
    <row r="162" spans="1:1" x14ac:dyDescent="0.45">
      <c r="A162" t="s">
        <v>1</v>
      </c>
    </row>
    <row r="163" spans="1:1" x14ac:dyDescent="0.45">
      <c r="A163" t="s">
        <v>85</v>
      </c>
    </row>
    <row r="164" spans="1:1" x14ac:dyDescent="0.45">
      <c r="A164" t="s">
        <v>1</v>
      </c>
    </row>
    <row r="165" spans="1:1" x14ac:dyDescent="0.45">
      <c r="A165" t="s">
        <v>1</v>
      </c>
    </row>
    <row r="166" spans="1:1" x14ac:dyDescent="0.45">
      <c r="A166" t="s">
        <v>1</v>
      </c>
    </row>
    <row r="167" spans="1:1" x14ac:dyDescent="0.45">
      <c r="A167" t="s">
        <v>1</v>
      </c>
    </row>
    <row r="168" spans="1:1" x14ac:dyDescent="0.45">
      <c r="A168" t="s">
        <v>1</v>
      </c>
    </row>
    <row r="169" spans="1:1" x14ac:dyDescent="0.45">
      <c r="A169" t="s">
        <v>1</v>
      </c>
    </row>
    <row r="170" spans="1:1" x14ac:dyDescent="0.45">
      <c r="A170" t="s">
        <v>86</v>
      </c>
    </row>
    <row r="171" spans="1:1" x14ac:dyDescent="0.45">
      <c r="A171" s="1" t="str">
        <f>CONCATENATE(" ip address ",FCAN_Transport_LoopBack, " ", FCAN_Transport_Loopback_Mask)</f>
        <v xml:space="preserve"> ip address 172.16.1.223 255.255.255.255</v>
      </c>
    </row>
    <row r="172" spans="1:1" x14ac:dyDescent="0.45">
      <c r="A172" t="s">
        <v>87</v>
      </c>
    </row>
    <row r="173" spans="1:1" x14ac:dyDescent="0.45">
      <c r="A173" t="s">
        <v>88</v>
      </c>
    </row>
    <row r="174" spans="1:1" x14ac:dyDescent="0.45">
      <c r="A174" t="s">
        <v>89</v>
      </c>
    </row>
    <row r="175" spans="1:1" x14ac:dyDescent="0.45">
      <c r="A175" t="s">
        <v>90</v>
      </c>
    </row>
    <row r="176" spans="1:1" x14ac:dyDescent="0.45">
      <c r="A176" t="s">
        <v>1</v>
      </c>
    </row>
    <row r="177" spans="1:1" x14ac:dyDescent="0.45">
      <c r="A177" t="s">
        <v>91</v>
      </c>
    </row>
    <row r="178" spans="1:1" x14ac:dyDescent="0.45">
      <c r="A178" t="s">
        <v>92</v>
      </c>
    </row>
    <row r="179" spans="1:1" x14ac:dyDescent="0.45">
      <c r="A179" t="s">
        <v>93</v>
      </c>
    </row>
    <row r="180" spans="1:1" x14ac:dyDescent="0.45">
      <c r="A180" t="s">
        <v>94</v>
      </c>
    </row>
    <row r="181" spans="1:1" x14ac:dyDescent="0.45">
      <c r="A181" t="s">
        <v>95</v>
      </c>
    </row>
    <row r="182" spans="1:1" x14ac:dyDescent="0.45">
      <c r="A182" s="1" t="str">
        <f xml:space="preserve"> "ip nhrp network-id " &amp; WGS_NHRP_ID</f>
        <v>ip nhrp network-id 10</v>
      </c>
    </row>
    <row r="183" spans="1:1" x14ac:dyDescent="0.45">
      <c r="A183" t="s">
        <v>96</v>
      </c>
    </row>
    <row r="184" spans="1:1" x14ac:dyDescent="0.45">
      <c r="A184" t="s">
        <v>97</v>
      </c>
    </row>
    <row r="185" spans="1:1" x14ac:dyDescent="0.45">
      <c r="A185" t="s">
        <v>98</v>
      </c>
    </row>
    <row r="186" spans="1:1" x14ac:dyDescent="0.45">
      <c r="A186" t="s">
        <v>99</v>
      </c>
    </row>
    <row r="187" spans="1:1" x14ac:dyDescent="0.45">
      <c r="A187" t="s">
        <v>100</v>
      </c>
    </row>
    <row r="188" spans="1:1" x14ac:dyDescent="0.45">
      <c r="A188" t="s">
        <v>184</v>
      </c>
    </row>
    <row r="189" spans="1:1" x14ac:dyDescent="0.45">
      <c r="A189" s="1" t="str">
        <f>"tunnel destination " &amp; WGS_Tunnel_Destination</f>
        <v>tunnel destination 172.16.1.253</v>
      </c>
    </row>
    <row r="190" spans="1:1" x14ac:dyDescent="0.45">
      <c r="A190" s="1" t="str">
        <f xml:space="preserve"> "tunnel key " &amp; WGS_Tunnel_Key</f>
        <v>tunnel key 10</v>
      </c>
    </row>
    <row r="191" spans="1:1" x14ac:dyDescent="0.45">
      <c r="A191" t="s">
        <v>101</v>
      </c>
    </row>
    <row r="192" spans="1:1" x14ac:dyDescent="0.45">
      <c r="A192" t="s">
        <v>102</v>
      </c>
    </row>
    <row r="193" spans="1:1" x14ac:dyDescent="0.45">
      <c r="A193" t="s">
        <v>103</v>
      </c>
    </row>
    <row r="194" spans="1:1" x14ac:dyDescent="0.45">
      <c r="A194" t="s">
        <v>1</v>
      </c>
    </row>
    <row r="195" spans="1:1" x14ac:dyDescent="0.45">
      <c r="A195" t="s">
        <v>104</v>
      </c>
    </row>
    <row r="196" spans="1:1" x14ac:dyDescent="0.45">
      <c r="A196" t="s">
        <v>105</v>
      </c>
    </row>
    <row r="197" spans="1:1" x14ac:dyDescent="0.45">
      <c r="A197" t="s">
        <v>93</v>
      </c>
    </row>
    <row r="198" spans="1:1" x14ac:dyDescent="0.45">
      <c r="A198" t="s">
        <v>94</v>
      </c>
    </row>
    <row r="199" spans="1:1" x14ac:dyDescent="0.45">
      <c r="A199" t="s">
        <v>95</v>
      </c>
    </row>
    <row r="200" spans="1:1" x14ac:dyDescent="0.45">
      <c r="A200" s="1" t="str">
        <f xml:space="preserve"> "ip nhrp network-id " &amp; Commercial_NHRP_Net_ID</f>
        <v>ip nhrp network-id 20</v>
      </c>
    </row>
    <row r="201" spans="1:1" x14ac:dyDescent="0.45">
      <c r="A201" t="s">
        <v>106</v>
      </c>
    </row>
    <row r="202" spans="1:1" x14ac:dyDescent="0.45">
      <c r="A202" t="s">
        <v>97</v>
      </c>
    </row>
    <row r="203" spans="1:1" x14ac:dyDescent="0.45">
      <c r="A203" t="s">
        <v>98</v>
      </c>
    </row>
    <row r="204" spans="1:1" x14ac:dyDescent="0.45">
      <c r="A204" t="s">
        <v>107</v>
      </c>
    </row>
    <row r="205" spans="1:1" x14ac:dyDescent="0.45">
      <c r="A205" t="s">
        <v>100</v>
      </c>
    </row>
    <row r="206" spans="1:1" x14ac:dyDescent="0.45">
      <c r="A206" t="s">
        <v>108</v>
      </c>
    </row>
    <row r="207" spans="1:1" x14ac:dyDescent="0.45">
      <c r="A207" s="1" t="str">
        <f xml:space="preserve"> "tunnel destination " &amp; Commercial_Tunnel_Destination</f>
        <v>tunnel destination 10.100.200.253</v>
      </c>
    </row>
    <row r="208" spans="1:1" x14ac:dyDescent="0.45">
      <c r="A208" s="1" t="str">
        <f xml:space="preserve"> "tunnel key " &amp; Commercial_Tunnel_Key</f>
        <v>tunnel key 20</v>
      </c>
    </row>
    <row r="209" spans="1:1" x14ac:dyDescent="0.45">
      <c r="A209" t="s">
        <v>101</v>
      </c>
    </row>
    <row r="210" spans="1:1" x14ac:dyDescent="0.45">
      <c r="A210" t="s">
        <v>109</v>
      </c>
    </row>
    <row r="211" spans="1:1" x14ac:dyDescent="0.45">
      <c r="A211" t="s">
        <v>110</v>
      </c>
    </row>
    <row r="212" spans="1:1" x14ac:dyDescent="0.45">
      <c r="A212" t="s">
        <v>1</v>
      </c>
    </row>
    <row r="213" spans="1:1" x14ac:dyDescent="0.45">
      <c r="A213" t="s">
        <v>111</v>
      </c>
    </row>
    <row r="214" spans="1:1" x14ac:dyDescent="0.45">
      <c r="A214" t="s">
        <v>112</v>
      </c>
    </row>
    <row r="215" spans="1:1" x14ac:dyDescent="0.45">
      <c r="A215" t="s">
        <v>113</v>
      </c>
    </row>
    <row r="216" spans="1:1" x14ac:dyDescent="0.45">
      <c r="A216" t="s">
        <v>114</v>
      </c>
    </row>
    <row r="217" spans="1:1" x14ac:dyDescent="0.45">
      <c r="A217" t="s">
        <v>115</v>
      </c>
    </row>
    <row r="218" spans="1:1" x14ac:dyDescent="0.45">
      <c r="A218" t="s">
        <v>116</v>
      </c>
    </row>
    <row r="219" spans="1:1" x14ac:dyDescent="0.45">
      <c r="A219" t="s">
        <v>1</v>
      </c>
    </row>
    <row r="220" spans="1:1" x14ac:dyDescent="0.45">
      <c r="A220" t="s">
        <v>117</v>
      </c>
    </row>
    <row r="221" spans="1:1" x14ac:dyDescent="0.45">
      <c r="A221" t="s">
        <v>118</v>
      </c>
    </row>
    <row r="222" spans="1:1" x14ac:dyDescent="0.45">
      <c r="A222" t="s">
        <v>113</v>
      </c>
    </row>
    <row r="223" spans="1:1" x14ac:dyDescent="0.45">
      <c r="A223" t="s">
        <v>115</v>
      </c>
    </row>
    <row r="224" spans="1:1" x14ac:dyDescent="0.45">
      <c r="A224" t="s">
        <v>116</v>
      </c>
    </row>
    <row r="225" spans="1:1" x14ac:dyDescent="0.45">
      <c r="A225" t="s">
        <v>1</v>
      </c>
    </row>
    <row r="226" spans="1:1" x14ac:dyDescent="0.45">
      <c r="A226" t="s">
        <v>526</v>
      </c>
    </row>
    <row r="227" spans="1:1" x14ac:dyDescent="0.45">
      <c r="A227" t="s">
        <v>529</v>
      </c>
    </row>
    <row r="228" spans="1:1" x14ac:dyDescent="0.45">
      <c r="A228" t="s">
        <v>527</v>
      </c>
    </row>
    <row r="229" spans="1:1" x14ac:dyDescent="0.45">
      <c r="A229" t="s">
        <v>120</v>
      </c>
    </row>
    <row r="230" spans="1:1" x14ac:dyDescent="0.45">
      <c r="A230" s="1" t="s">
        <v>528</v>
      </c>
    </row>
    <row r="231" spans="1:1" x14ac:dyDescent="0.45">
      <c r="A231" t="s">
        <v>121</v>
      </c>
    </row>
    <row r="232" spans="1:1" x14ac:dyDescent="0.45">
      <c r="A232" t="s">
        <v>87</v>
      </c>
    </row>
    <row r="233" spans="1:1" x14ac:dyDescent="0.45">
      <c r="A233" t="s">
        <v>88</v>
      </c>
    </row>
    <row r="234" spans="1:1" x14ac:dyDescent="0.45">
      <c r="A234" t="s">
        <v>89</v>
      </c>
    </row>
    <row r="235" spans="1:1" x14ac:dyDescent="0.45">
      <c r="A235" t="s">
        <v>1</v>
      </c>
    </row>
    <row r="236" spans="1:1" x14ac:dyDescent="0.45">
      <c r="A236" t="s">
        <v>1</v>
      </c>
    </row>
    <row r="237" spans="1:1" x14ac:dyDescent="0.45">
      <c r="A237" t="s">
        <v>517</v>
      </c>
    </row>
    <row r="238" spans="1:1" x14ac:dyDescent="0.45">
      <c r="A238" t="s">
        <v>119</v>
      </c>
    </row>
    <row r="239" spans="1:1" x14ac:dyDescent="0.45">
      <c r="A239" t="s">
        <v>519</v>
      </c>
    </row>
    <row r="240" spans="1:1" x14ac:dyDescent="0.45">
      <c r="A240" t="s">
        <v>120</v>
      </c>
    </row>
    <row r="241" spans="1:1" x14ac:dyDescent="0.45">
      <c r="A241" s="1" t="str">
        <f>CONCATENATE(" ip address ",FCAN_WGS_Interface_IP, " ", FCAN_WGS_Mask)</f>
        <v xml:space="preserve"> ip address 172.16.1.254 255.255.255.248</v>
      </c>
    </row>
    <row r="242" spans="1:1" x14ac:dyDescent="0.45">
      <c r="A242" t="s">
        <v>121</v>
      </c>
    </row>
    <row r="243" spans="1:1" x14ac:dyDescent="0.45">
      <c r="A243" t="s">
        <v>87</v>
      </c>
    </row>
    <row r="244" spans="1:1" x14ac:dyDescent="0.45">
      <c r="A244" t="s">
        <v>88</v>
      </c>
    </row>
    <row r="245" spans="1:1" x14ac:dyDescent="0.45">
      <c r="A245" t="s">
        <v>89</v>
      </c>
    </row>
    <row r="246" spans="1:1" x14ac:dyDescent="0.45">
      <c r="A246" t="s">
        <v>1</v>
      </c>
    </row>
    <row r="247" spans="1:1" x14ac:dyDescent="0.45">
      <c r="A247" t="s">
        <v>518</v>
      </c>
    </row>
    <row r="248" spans="1:1" x14ac:dyDescent="0.45">
      <c r="A248" t="s">
        <v>522</v>
      </c>
    </row>
    <row r="249" spans="1:1" x14ac:dyDescent="0.45">
      <c r="A249" t="s">
        <v>520</v>
      </c>
    </row>
    <row r="250" spans="1:1" x14ac:dyDescent="0.45">
      <c r="A250" s="1" t="s">
        <v>189</v>
      </c>
    </row>
    <row r="251" spans="1:1" x14ac:dyDescent="0.45">
      <c r="A251" t="s">
        <v>87</v>
      </c>
    </row>
    <row r="252" spans="1:1" x14ac:dyDescent="0.45">
      <c r="A252" t="s">
        <v>88</v>
      </c>
    </row>
    <row r="253" spans="1:1" x14ac:dyDescent="0.45">
      <c r="A253" t="s">
        <v>89</v>
      </c>
    </row>
    <row r="254" spans="1:1" x14ac:dyDescent="0.45">
      <c r="A254" t="s">
        <v>1</v>
      </c>
    </row>
    <row r="255" spans="1:1" x14ac:dyDescent="0.45">
      <c r="A255" t="s">
        <v>523</v>
      </c>
    </row>
    <row r="256" spans="1:1" x14ac:dyDescent="0.45">
      <c r="A256" t="s">
        <v>525</v>
      </c>
    </row>
    <row r="257" spans="1:1" x14ac:dyDescent="0.45">
      <c r="A257" t="s">
        <v>524</v>
      </c>
    </row>
    <row r="258" spans="1:1" x14ac:dyDescent="0.45">
      <c r="A258" s="1" t="s">
        <v>189</v>
      </c>
    </row>
    <row r="259" spans="1:1" x14ac:dyDescent="0.45">
      <c r="A259" t="s">
        <v>87</v>
      </c>
    </row>
    <row r="260" spans="1:1" x14ac:dyDescent="0.45">
      <c r="A260" t="s">
        <v>88</v>
      </c>
    </row>
    <row r="261" spans="1:1" x14ac:dyDescent="0.45">
      <c r="A261" t="s">
        <v>89</v>
      </c>
    </row>
    <row r="263" spans="1:1" x14ac:dyDescent="0.45">
      <c r="A263" t="s">
        <v>1</v>
      </c>
    </row>
    <row r="264" spans="1:1" x14ac:dyDescent="0.45">
      <c r="A264" t="s">
        <v>513</v>
      </c>
    </row>
    <row r="265" spans="1:1" x14ac:dyDescent="0.45">
      <c r="A265" t="s">
        <v>276</v>
      </c>
    </row>
    <row r="266" spans="1:1" x14ac:dyDescent="0.45">
      <c r="A266" t="s">
        <v>514</v>
      </c>
    </row>
    <row r="267" spans="1:1" x14ac:dyDescent="0.45">
      <c r="A267" s="1" t="str">
        <f>CONCATENATE(" ip address ",FCAN_Transport_MGMT_GW_IP, " ", FCAN_Transport_MGMT_MASK)</f>
        <v xml:space="preserve"> ip address 172.16.1.190 255.255.255.192</v>
      </c>
    </row>
    <row r="268" spans="1:1" x14ac:dyDescent="0.45">
      <c r="A268" t="s">
        <v>87</v>
      </c>
    </row>
    <row r="269" spans="1:1" x14ac:dyDescent="0.45">
      <c r="A269" t="s">
        <v>88</v>
      </c>
    </row>
    <row r="270" spans="1:1" x14ac:dyDescent="0.45">
      <c r="A270" t="s">
        <v>89</v>
      </c>
    </row>
    <row r="271" spans="1:1" x14ac:dyDescent="0.45">
      <c r="A271" t="s">
        <v>1</v>
      </c>
    </row>
    <row r="272" spans="1:1" x14ac:dyDescent="0.45">
      <c r="A272" t="s">
        <v>521</v>
      </c>
    </row>
    <row r="273" spans="1:1" x14ac:dyDescent="0.45">
      <c r="A273" t="s">
        <v>516</v>
      </c>
    </row>
    <row r="274" spans="1:1" x14ac:dyDescent="0.45">
      <c r="A274" t="s">
        <v>515</v>
      </c>
    </row>
    <row r="275" spans="1:1" x14ac:dyDescent="0.45">
      <c r="A275" s="1" t="str">
        <f>CONCATENATE(" ip address ",FCAN_Secure_CT_IP, " ", FCAN_Secure_CT_Subnetmask)</f>
        <v xml:space="preserve"> ip address 172.16.1.238 255.255.255.248</v>
      </c>
    </row>
    <row r="276" spans="1:1" x14ac:dyDescent="0.45">
      <c r="A276" t="s">
        <v>87</v>
      </c>
    </row>
    <row r="277" spans="1:1" x14ac:dyDescent="0.45">
      <c r="A277" t="s">
        <v>88</v>
      </c>
    </row>
    <row r="278" spans="1:1" x14ac:dyDescent="0.45">
      <c r="A278" t="s">
        <v>89</v>
      </c>
    </row>
    <row r="280" spans="1:1" x14ac:dyDescent="0.45">
      <c r="A280" t="s">
        <v>1</v>
      </c>
    </row>
    <row r="281" spans="1:1" x14ac:dyDescent="0.45">
      <c r="A281" t="s">
        <v>123</v>
      </c>
    </row>
    <row r="282" spans="1:1" x14ac:dyDescent="0.45">
      <c r="A282" t="s">
        <v>124</v>
      </c>
    </row>
    <row r="283" spans="1:1" x14ac:dyDescent="0.45">
      <c r="A283" t="s">
        <v>125</v>
      </c>
    </row>
    <row r="284" spans="1:1" x14ac:dyDescent="0.45">
      <c r="A284" s="1" t="str">
        <f>CONCATENATE(" ip address ",FCAN_Commercial_IP, " ", FCAN_Commercial_Mask)</f>
        <v xml:space="preserve"> ip address 172.16.1.246 255.255.255.248</v>
      </c>
    </row>
    <row r="285" spans="1:1" x14ac:dyDescent="0.45">
      <c r="A285" t="s">
        <v>87</v>
      </c>
    </row>
    <row r="286" spans="1:1" x14ac:dyDescent="0.45">
      <c r="A286" t="s">
        <v>88</v>
      </c>
    </row>
    <row r="287" spans="1:1" x14ac:dyDescent="0.45">
      <c r="A287" t="s">
        <v>89</v>
      </c>
    </row>
    <row r="288" spans="1:1" x14ac:dyDescent="0.45">
      <c r="A288" t="s">
        <v>115</v>
      </c>
    </row>
    <row r="289" spans="1:1" x14ac:dyDescent="0.45">
      <c r="A289" t="s">
        <v>116</v>
      </c>
    </row>
    <row r="290" spans="1:1" x14ac:dyDescent="0.45">
      <c r="A290" t="s">
        <v>1</v>
      </c>
    </row>
    <row r="291" spans="1:1" x14ac:dyDescent="0.45">
      <c r="A291" t="s">
        <v>126</v>
      </c>
    </row>
    <row r="292" spans="1:1" x14ac:dyDescent="0.45">
      <c r="A292" t="s">
        <v>113</v>
      </c>
    </row>
    <row r="293" spans="1:1" x14ac:dyDescent="0.45">
      <c r="A293" t="s">
        <v>115</v>
      </c>
    </row>
    <row r="294" spans="1:1" x14ac:dyDescent="0.45">
      <c r="A294" t="s">
        <v>116</v>
      </c>
    </row>
    <row r="295" spans="1:1" x14ac:dyDescent="0.45">
      <c r="A295" t="s">
        <v>127</v>
      </c>
    </row>
    <row r="296" spans="1:1" x14ac:dyDescent="0.45">
      <c r="A296" t="s">
        <v>1</v>
      </c>
    </row>
    <row r="297" spans="1:1" x14ac:dyDescent="0.45">
      <c r="A297" t="s">
        <v>128</v>
      </c>
    </row>
    <row r="298" spans="1:1" x14ac:dyDescent="0.45">
      <c r="A298" t="s">
        <v>113</v>
      </c>
    </row>
    <row r="299" spans="1:1" x14ac:dyDescent="0.45">
      <c r="A299" s="1" t="str">
        <f>"ip unnumbered Tunnel" &amp; WGS_Tunnel_Number</f>
        <v>ip unnumbered Tunnel10</v>
      </c>
    </row>
    <row r="300" spans="1:1" x14ac:dyDescent="0.45">
      <c r="A300" t="s">
        <v>95</v>
      </c>
    </row>
    <row r="301" spans="1:1" x14ac:dyDescent="0.45">
      <c r="A301" s="1" t="str">
        <f xml:space="preserve"> "ip nhrp network-id " &amp; WGS_NHRP_ID</f>
        <v>ip nhrp network-id 10</v>
      </c>
    </row>
    <row r="302" spans="1:1" x14ac:dyDescent="0.45">
      <c r="A302" t="s">
        <v>96</v>
      </c>
    </row>
    <row r="303" spans="1:1" x14ac:dyDescent="0.45">
      <c r="A303" t="s">
        <v>97</v>
      </c>
    </row>
    <row r="304" spans="1:1" x14ac:dyDescent="0.45">
      <c r="A304" t="s">
        <v>98</v>
      </c>
    </row>
    <row r="305" spans="1:1" x14ac:dyDescent="0.45">
      <c r="A305" t="s">
        <v>99</v>
      </c>
    </row>
    <row r="306" spans="1:1" x14ac:dyDescent="0.45">
      <c r="A306" t="s">
        <v>100</v>
      </c>
    </row>
    <row r="307" spans="1:1" x14ac:dyDescent="0.45">
      <c r="A307" s="1" t="str">
        <f xml:space="preserve"> "tunnel key " &amp; WGS_Tunnel_Key</f>
        <v>tunnel key 10</v>
      </c>
    </row>
    <row r="308" spans="1:1" x14ac:dyDescent="0.45">
      <c r="A308" t="s">
        <v>102</v>
      </c>
    </row>
    <row r="309" spans="1:1" x14ac:dyDescent="0.45">
      <c r="A309" t="s">
        <v>103</v>
      </c>
    </row>
    <row r="310" spans="1:1" x14ac:dyDescent="0.45">
      <c r="A310" t="s">
        <v>1</v>
      </c>
    </row>
    <row r="311" spans="1:1" x14ac:dyDescent="0.45">
      <c r="A311" t="s">
        <v>129</v>
      </c>
    </row>
    <row r="312" spans="1:1" x14ac:dyDescent="0.45">
      <c r="A312" s="13" t="str">
        <f>"ip unnumbered Tunnel" &amp; Commercial_Tunnel_Number</f>
        <v>ip unnumbered Tunnel20</v>
      </c>
    </row>
    <row r="313" spans="1:1" x14ac:dyDescent="0.45">
      <c r="A313" t="s">
        <v>95</v>
      </c>
    </row>
    <row r="314" spans="1:1" x14ac:dyDescent="0.45">
      <c r="A314" s="1" t="str">
        <f xml:space="preserve"> "ip nhrp network-id " &amp; Commercial_NHRP_Net_ID</f>
        <v>ip nhrp network-id 20</v>
      </c>
    </row>
    <row r="315" spans="1:1" x14ac:dyDescent="0.45">
      <c r="A315" t="s">
        <v>106</v>
      </c>
    </row>
    <row r="316" spans="1:1" x14ac:dyDescent="0.45">
      <c r="A316" t="s">
        <v>97</v>
      </c>
    </row>
    <row r="317" spans="1:1" x14ac:dyDescent="0.45">
      <c r="A317" t="s">
        <v>98</v>
      </c>
    </row>
    <row r="318" spans="1:1" x14ac:dyDescent="0.45">
      <c r="A318" t="s">
        <v>107</v>
      </c>
    </row>
    <row r="319" spans="1:1" x14ac:dyDescent="0.45">
      <c r="A319" t="s">
        <v>100</v>
      </c>
    </row>
    <row r="320" spans="1:1" x14ac:dyDescent="0.45">
      <c r="A320" s="1" t="str">
        <f xml:space="preserve"> "tunnel key " &amp; Commercial_Tunnel_Key</f>
        <v>tunnel key 20</v>
      </c>
    </row>
    <row r="321" spans="1:1" x14ac:dyDescent="0.45">
      <c r="A321" t="s">
        <v>109</v>
      </c>
    </row>
    <row r="322" spans="1:1" x14ac:dyDescent="0.45">
      <c r="A322" t="s">
        <v>110</v>
      </c>
    </row>
    <row r="323" spans="1:1" x14ac:dyDescent="0.45">
      <c r="A323" t="s">
        <v>1</v>
      </c>
    </row>
    <row r="324" spans="1:1" x14ac:dyDescent="0.45">
      <c r="A324" t="s">
        <v>130</v>
      </c>
    </row>
    <row r="325" spans="1:1" x14ac:dyDescent="0.45">
      <c r="A325" t="s">
        <v>131</v>
      </c>
    </row>
    <row r="326" spans="1:1" x14ac:dyDescent="0.45">
      <c r="A326" s="1" t="str">
        <f>"no passive-interface Tunnel" &amp; WGS_Tunnel_Number</f>
        <v>no passive-interface Tunnel10</v>
      </c>
    </row>
    <row r="327" spans="1:1" x14ac:dyDescent="0.45">
      <c r="A327" s="1" t="str">
        <f>"no passive-interface Tunnel" &amp; Commercial_Tunnel_Number</f>
        <v>no passive-interface Tunnel20</v>
      </c>
    </row>
    <row r="328" spans="1:1" x14ac:dyDescent="0.45">
      <c r="A328" s="1" t="str">
        <f>CONCATENATE(" network ",WGS_Tunnel_Subnet," ",InverseNetmask(WGS_Tunnel_Subnet_Mask)," area 0")</f>
        <v xml:space="preserve"> network 10.2.0.0 0.0.255.255 area 0</v>
      </c>
    </row>
    <row r="329" spans="1:1" x14ac:dyDescent="0.45">
      <c r="A329" s="1" t="str">
        <f>CONCATENATE(" network ",Comm_Tunnel_Subnet," ",InverseNetmask(Comm_Tunnel_Subnet_Mask)," area 0")</f>
        <v xml:space="preserve"> network 10.3.0.0 0.0.255.255 area 0</v>
      </c>
    </row>
    <row r="330" spans="1:1" x14ac:dyDescent="0.45">
      <c r="A330" s="1" t="str">
        <f>CONCATENATE(" network ",FCAN_Transport_LoopBack," ",InverseNetmask(FCAN_Transport_Loopback_Mask)," area 0")</f>
        <v xml:space="preserve"> network 172.16.1.223 0.0.0.0 area 0</v>
      </c>
    </row>
    <row r="331" spans="1:1" x14ac:dyDescent="0.45">
      <c r="A331" s="1" t="str">
        <f>CONCATENATE(" network ",FCAN_Transport_MGMT_GW_IP," ",InverseNetmask(FCAN_Transport_MGMT_MASK)," area 0")</f>
        <v xml:space="preserve"> network 172.16.1.190 0.0.0.63 area 0</v>
      </c>
    </row>
    <row r="332" spans="1:1" x14ac:dyDescent="0.45">
      <c r="A332" s="1" t="str">
        <f>CONCATENATE(" network ",FCAN_Secure_CT_IP," ",InverseNetmask(FCAN_Secure_CT_Subnetmask)," area 0")</f>
        <v xml:space="preserve"> network 172.16.1.238 0.0.0.7 area 0</v>
      </c>
    </row>
    <row r="333" spans="1:1" x14ac:dyDescent="0.45">
      <c r="A333" t="s">
        <v>1</v>
      </c>
    </row>
    <row r="334" spans="1:1" x14ac:dyDescent="0.45">
      <c r="A334" t="s">
        <v>132</v>
      </c>
    </row>
    <row r="335" spans="1:1" x14ac:dyDescent="0.45">
      <c r="A335" t="s">
        <v>133</v>
      </c>
    </row>
    <row r="336" spans="1:1" x14ac:dyDescent="0.45">
      <c r="A336" t="s">
        <v>1</v>
      </c>
    </row>
    <row r="337" spans="1:1" x14ac:dyDescent="0.45">
      <c r="A337" t="s">
        <v>1</v>
      </c>
    </row>
    <row r="338" spans="1:1" x14ac:dyDescent="0.45">
      <c r="A338" t="s">
        <v>134</v>
      </c>
    </row>
    <row r="339" spans="1:1" x14ac:dyDescent="0.45">
      <c r="A339" t="s">
        <v>135</v>
      </c>
    </row>
    <row r="340" spans="1:1" x14ac:dyDescent="0.45">
      <c r="A340" s="1" t="str">
        <f xml:space="preserve"> "ip route vrf COMM 0.0.0.0 0.0.0.0 " &amp; FCAN_Transport_FW_Trusted_IP &amp; " 100"</f>
        <v>ip route vrf COMM 0.0.0.0 0.0.0.0 172.16.1.245 100</v>
      </c>
    </row>
    <row r="341" spans="1:1" x14ac:dyDescent="0.45">
      <c r="A341" s="1" t="str">
        <f xml:space="preserve"> "ip route vrf WGS 0.0.0.0 0.0.0.0 " &amp; FCAN_WGS_Modem_IP &amp; " 100"</f>
        <v>ip route vrf WGS 0.0.0.0 0.0.0.0 172.16.1.253 100</v>
      </c>
    </row>
    <row r="342" spans="1:1" x14ac:dyDescent="0.45">
      <c r="A342" t="s">
        <v>1</v>
      </c>
    </row>
    <row r="343" spans="1:1" x14ac:dyDescent="0.45">
      <c r="A343" t="s">
        <v>136</v>
      </c>
    </row>
    <row r="344" spans="1:1" x14ac:dyDescent="0.45">
      <c r="A344" s="1" t="str">
        <f>CONCATENATE("permit ",FCAN_Transport_MGMT_Network, " ",InverseNetmask( FCAN_Transport_MGMT_MASK))</f>
        <v>permit 172.16.1.128 0.0.0.63</v>
      </c>
    </row>
    <row r="345" spans="1:1" x14ac:dyDescent="0.45">
      <c r="A345" t="s">
        <v>137</v>
      </c>
    </row>
    <row r="346" spans="1:1" x14ac:dyDescent="0.45">
      <c r="A346" s="1" t="str">
        <f>CONCATENATE("permit ",FCAN_Transport_MGMT_Network, " ",InverseNetmask( FCAN_Transport_MGMT_MASK))</f>
        <v>permit 172.16.1.128 0.0.0.63</v>
      </c>
    </row>
    <row r="347" spans="1:1" x14ac:dyDescent="0.45">
      <c r="A347" t="s">
        <v>138</v>
      </c>
    </row>
    <row r="348" spans="1:1" x14ac:dyDescent="0.45">
      <c r="A348" t="s">
        <v>1</v>
      </c>
    </row>
    <row r="349" spans="1:1" x14ac:dyDescent="0.45">
      <c r="A349" t="s">
        <v>139</v>
      </c>
    </row>
    <row r="350" spans="1:1" x14ac:dyDescent="0.45">
      <c r="A350" t="s">
        <v>140</v>
      </c>
    </row>
    <row r="351" spans="1:1" x14ac:dyDescent="0.45">
      <c r="A351" t="s">
        <v>141</v>
      </c>
    </row>
    <row r="352" spans="1:1" x14ac:dyDescent="0.45">
      <c r="A352" t="s">
        <v>142</v>
      </c>
    </row>
    <row r="353" spans="1:1" x14ac:dyDescent="0.45">
      <c r="A353" t="s">
        <v>143</v>
      </c>
    </row>
    <row r="354" spans="1:1" x14ac:dyDescent="0.45">
      <c r="A354" t="s">
        <v>1</v>
      </c>
    </row>
    <row r="355" spans="1:1" x14ac:dyDescent="0.45">
      <c r="A355" t="s">
        <v>144</v>
      </c>
    </row>
    <row r="356" spans="1:1" x14ac:dyDescent="0.45">
      <c r="A356" t="s">
        <v>1</v>
      </c>
    </row>
    <row r="357" spans="1:1" x14ac:dyDescent="0.45">
      <c r="A357" t="s">
        <v>1</v>
      </c>
    </row>
    <row r="358" spans="1:1" x14ac:dyDescent="0.45">
      <c r="A358" t="s">
        <v>1</v>
      </c>
    </row>
    <row r="359" spans="1:1" x14ac:dyDescent="0.45">
      <c r="A359" t="s">
        <v>1</v>
      </c>
    </row>
    <row r="360" spans="1:1" x14ac:dyDescent="0.45">
      <c r="A360" t="s">
        <v>1</v>
      </c>
    </row>
    <row r="361" spans="1:1" x14ac:dyDescent="0.45">
      <c r="A361" t="s">
        <v>145</v>
      </c>
    </row>
    <row r="362" spans="1:1" x14ac:dyDescent="0.45">
      <c r="A362" t="s">
        <v>1</v>
      </c>
    </row>
    <row r="363" spans="1:1" x14ac:dyDescent="0.45">
      <c r="A363" t="s">
        <v>55</v>
      </c>
    </row>
    <row r="364" spans="1:1" x14ac:dyDescent="0.45">
      <c r="A364" t="s">
        <v>55</v>
      </c>
    </row>
    <row r="365" spans="1:1" x14ac:dyDescent="0.45">
      <c r="A365" t="s">
        <v>55</v>
      </c>
    </row>
    <row r="366" spans="1:1" x14ac:dyDescent="0.45">
      <c r="A366" t="s">
        <v>55</v>
      </c>
    </row>
    <row r="367" spans="1:1" x14ac:dyDescent="0.45">
      <c r="A367" t="s">
        <v>1</v>
      </c>
    </row>
    <row r="368" spans="1:1" x14ac:dyDescent="0.45">
      <c r="A368" t="s">
        <v>1</v>
      </c>
    </row>
    <row r="369" spans="1:1" x14ac:dyDescent="0.45">
      <c r="A369" t="s">
        <v>1</v>
      </c>
    </row>
    <row r="370" spans="1:1" x14ac:dyDescent="0.45">
      <c r="A370" t="s">
        <v>1</v>
      </c>
    </row>
    <row r="371" spans="1:1" x14ac:dyDescent="0.45">
      <c r="A371" t="s">
        <v>1</v>
      </c>
    </row>
    <row r="372" spans="1:1" x14ac:dyDescent="0.45">
      <c r="A372" t="s">
        <v>1</v>
      </c>
    </row>
    <row r="373" spans="1:1" x14ac:dyDescent="0.45">
      <c r="A373" t="s">
        <v>1</v>
      </c>
    </row>
    <row r="374" spans="1:1" x14ac:dyDescent="0.45">
      <c r="A374" t="s">
        <v>146</v>
      </c>
    </row>
    <row r="375" spans="1:1" x14ac:dyDescent="0.45">
      <c r="A375" t="s">
        <v>147</v>
      </c>
    </row>
    <row r="376" spans="1:1" x14ac:dyDescent="0.45">
      <c r="A376" t="s">
        <v>148</v>
      </c>
    </row>
    <row r="377" spans="1:1" x14ac:dyDescent="0.45">
      <c r="A377" t="s">
        <v>149</v>
      </c>
    </row>
    <row r="378" spans="1:1" x14ac:dyDescent="0.45">
      <c r="A378" t="s">
        <v>150</v>
      </c>
    </row>
    <row r="379" spans="1:1" x14ac:dyDescent="0.45">
      <c r="A379" t="s">
        <v>147</v>
      </c>
    </row>
    <row r="380" spans="1:1" x14ac:dyDescent="0.45">
      <c r="A380" t="s">
        <v>151</v>
      </c>
    </row>
    <row r="381" spans="1:1" x14ac:dyDescent="0.45">
      <c r="A381" t="s">
        <v>152</v>
      </c>
    </row>
    <row r="382" spans="1:1" x14ac:dyDescent="0.45">
      <c r="A382" t="s">
        <v>153</v>
      </c>
    </row>
    <row r="383" spans="1:1" x14ac:dyDescent="0.45">
      <c r="A383" t="s">
        <v>150</v>
      </c>
    </row>
    <row r="384" spans="1:1" x14ac:dyDescent="0.45">
      <c r="A384" t="s">
        <v>147</v>
      </c>
    </row>
    <row r="385" spans="1:1" x14ac:dyDescent="0.45">
      <c r="A385" t="s">
        <v>151</v>
      </c>
    </row>
    <row r="386" spans="1:1" x14ac:dyDescent="0.45">
      <c r="A386" t="s">
        <v>152</v>
      </c>
    </row>
    <row r="387" spans="1:1" x14ac:dyDescent="0.45">
      <c r="A387" t="s">
        <v>1</v>
      </c>
    </row>
    <row r="388" spans="1:1" x14ac:dyDescent="0.45">
      <c r="A388" s="1" t="str">
        <f xml:space="preserve"> "ntp server " &amp; NTP_Server</f>
        <v>ntp server 1.1.1.1</v>
      </c>
    </row>
    <row r="389" spans="1:1" x14ac:dyDescent="0.45">
      <c r="A389" t="s">
        <v>1</v>
      </c>
    </row>
    <row r="390" spans="1:1" x14ac:dyDescent="0.45">
      <c r="A390" t="s">
        <v>154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165D9-01A2-4B26-8021-AE57825796D5}">
  <sheetPr codeName="Sheet3">
    <tabColor theme="1"/>
  </sheetPr>
  <dimension ref="A1:A233"/>
  <sheetViews>
    <sheetView workbookViewId="0">
      <selection activeCell="A32" sqref="A32"/>
    </sheetView>
  </sheetViews>
  <sheetFormatPr defaultColWidth="8.796875" defaultRowHeight="14.25" x14ac:dyDescent="0.45"/>
  <cols>
    <col min="1" max="1" width="108.46484375" customWidth="1"/>
  </cols>
  <sheetData>
    <row r="1" spans="1:1" x14ac:dyDescent="0.45">
      <c r="A1" t="s">
        <v>208</v>
      </c>
    </row>
    <row r="2" spans="1:1" x14ac:dyDescent="0.45">
      <c r="A2" t="s">
        <v>209</v>
      </c>
    </row>
    <row r="3" spans="1:1" x14ac:dyDescent="0.45">
      <c r="A3" t="s">
        <v>3</v>
      </c>
    </row>
    <row r="4" spans="1:1" x14ac:dyDescent="0.45">
      <c r="A4" t="s">
        <v>4</v>
      </c>
    </row>
    <row r="5" spans="1:1" x14ac:dyDescent="0.45">
      <c r="A5" t="s">
        <v>5</v>
      </c>
    </row>
    <row r="6" spans="1:1" x14ac:dyDescent="0.45">
      <c r="A6" t="s">
        <v>210</v>
      </c>
    </row>
    <row r="7" spans="1:1" x14ac:dyDescent="0.45">
      <c r="A7" t="s">
        <v>211</v>
      </c>
    </row>
    <row r="8" spans="1:1" x14ac:dyDescent="0.45">
      <c r="A8" t="s">
        <v>212</v>
      </c>
    </row>
    <row r="9" spans="1:1" x14ac:dyDescent="0.45">
      <c r="A9" t="s">
        <v>1</v>
      </c>
    </row>
    <row r="10" spans="1:1" x14ac:dyDescent="0.45">
      <c r="A10" s="1" t="str">
        <f xml:space="preserve"> "hostname FCAN-" &amp; Hostname &amp; "-TS"</f>
        <v>hostname FCAN-100-TS</v>
      </c>
    </row>
    <row r="11" spans="1:1" x14ac:dyDescent="0.45">
      <c r="A11" t="s">
        <v>1</v>
      </c>
    </row>
    <row r="12" spans="1:1" x14ac:dyDescent="0.45">
      <c r="A12" t="s">
        <v>1</v>
      </c>
    </row>
    <row r="13" spans="1:1" x14ac:dyDescent="0.45">
      <c r="A13" t="s">
        <v>8</v>
      </c>
    </row>
    <row r="14" spans="1:1" x14ac:dyDescent="0.45">
      <c r="A14" t="s">
        <v>1</v>
      </c>
    </row>
    <row r="15" spans="1:1" x14ac:dyDescent="0.45">
      <c r="A15" t="s">
        <v>1</v>
      </c>
    </row>
    <row r="16" spans="1:1" x14ac:dyDescent="0.45">
      <c r="A16" t="s">
        <v>9</v>
      </c>
    </row>
    <row r="17" spans="1:1" x14ac:dyDescent="0.45">
      <c r="A17" t="s">
        <v>10</v>
      </c>
    </row>
    <row r="18" spans="1:1" x14ac:dyDescent="0.45">
      <c r="A18" t="s">
        <v>11</v>
      </c>
    </row>
    <row r="19" spans="1:1" x14ac:dyDescent="0.45">
      <c r="A19" t="s">
        <v>1</v>
      </c>
    </row>
    <row r="20" spans="1:1" x14ac:dyDescent="0.45">
      <c r="A20" t="s">
        <v>1</v>
      </c>
    </row>
    <row r="21" spans="1:1" x14ac:dyDescent="0.45">
      <c r="A21" t="s">
        <v>1</v>
      </c>
    </row>
    <row r="22" spans="1:1" x14ac:dyDescent="0.45">
      <c r="A22" s="1" t="str">
        <f>"enable secret " &amp; Enable_Secret</f>
        <v>enable secret cisco</v>
      </c>
    </row>
    <row r="23" spans="1:1" x14ac:dyDescent="0.45">
      <c r="A23" t="s">
        <v>1</v>
      </c>
    </row>
    <row r="24" spans="1:1" x14ac:dyDescent="0.45">
      <c r="A24" t="s">
        <v>1</v>
      </c>
    </row>
    <row r="25" spans="1:1" x14ac:dyDescent="0.45">
      <c r="A25" t="s">
        <v>13</v>
      </c>
    </row>
    <row r="26" spans="1:1" x14ac:dyDescent="0.45">
      <c r="A26" t="s">
        <v>213</v>
      </c>
    </row>
    <row r="27" spans="1:1" x14ac:dyDescent="0.45">
      <c r="A27" s="1" t="str">
        <f>"vtp domain " &amp; VTP_Domain</f>
        <v>vtp domain NZDF</v>
      </c>
    </row>
    <row r="28" spans="1:1" x14ac:dyDescent="0.45">
      <c r="A28" t="s">
        <v>214</v>
      </c>
    </row>
    <row r="29" spans="1:1" x14ac:dyDescent="0.45">
      <c r="A29" t="s">
        <v>1</v>
      </c>
    </row>
    <row r="30" spans="1:1" x14ac:dyDescent="0.45">
      <c r="A30" t="s">
        <v>1</v>
      </c>
    </row>
    <row r="31" spans="1:1" x14ac:dyDescent="0.45">
      <c r="A31" t="s">
        <v>1</v>
      </c>
    </row>
    <row r="32" spans="1:1" x14ac:dyDescent="0.45">
      <c r="A32" t="s">
        <v>1</v>
      </c>
    </row>
    <row r="33" spans="1:1" x14ac:dyDescent="0.45">
      <c r="A33" t="s">
        <v>1</v>
      </c>
    </row>
    <row r="34" spans="1:1" x14ac:dyDescent="0.45">
      <c r="A34" s="20" t="s">
        <v>215</v>
      </c>
    </row>
    <row r="35" spans="1:1" x14ac:dyDescent="0.45">
      <c r="A35" s="1" t="str">
        <f>"ip domain name " &amp; Domain_Name</f>
        <v>ip domain name TNET.local</v>
      </c>
    </row>
    <row r="36" spans="1:1" x14ac:dyDescent="0.45">
      <c r="A36" t="s">
        <v>1</v>
      </c>
    </row>
    <row r="37" spans="1:1" x14ac:dyDescent="0.45">
      <c r="A37" t="s">
        <v>1</v>
      </c>
    </row>
    <row r="38" spans="1:1" x14ac:dyDescent="0.45">
      <c r="A38" t="s">
        <v>1</v>
      </c>
    </row>
    <row r="39" spans="1:1" x14ac:dyDescent="0.45">
      <c r="A39" t="s">
        <v>216</v>
      </c>
    </row>
    <row r="40" spans="1:1" x14ac:dyDescent="0.45">
      <c r="A40" t="s">
        <v>217</v>
      </c>
    </row>
    <row r="41" spans="1:1" x14ac:dyDescent="0.45">
      <c r="A41" t="s">
        <v>1</v>
      </c>
    </row>
    <row r="42" spans="1:1" x14ac:dyDescent="0.45">
      <c r="A42" t="s">
        <v>218</v>
      </c>
    </row>
    <row r="43" spans="1:1" x14ac:dyDescent="0.45">
      <c r="A43" t="s">
        <v>219</v>
      </c>
    </row>
    <row r="44" spans="1:1" x14ac:dyDescent="0.45">
      <c r="A44" t="s">
        <v>220</v>
      </c>
    </row>
    <row r="45" spans="1:1" x14ac:dyDescent="0.45">
      <c r="A45" t="s">
        <v>221</v>
      </c>
    </row>
    <row r="46" spans="1:1" x14ac:dyDescent="0.45">
      <c r="A46" t="s">
        <v>222</v>
      </c>
    </row>
    <row r="47" spans="1:1" x14ac:dyDescent="0.45">
      <c r="A47" t="s">
        <v>1</v>
      </c>
    </row>
    <row r="48" spans="1:1" x14ac:dyDescent="0.45">
      <c r="A48" t="s">
        <v>1</v>
      </c>
    </row>
    <row r="49" spans="1:1" x14ac:dyDescent="0.45">
      <c r="A49" t="s">
        <v>223</v>
      </c>
    </row>
    <row r="50" spans="1:1" x14ac:dyDescent="0.45">
      <c r="A50" t="s">
        <v>224</v>
      </c>
    </row>
    <row r="51" spans="1:1" x14ac:dyDescent="0.45">
      <c r="A51" t="s">
        <v>1</v>
      </c>
    </row>
    <row r="52" spans="1:1" x14ac:dyDescent="0.45">
      <c r="A52" t="s">
        <v>225</v>
      </c>
    </row>
    <row r="53" spans="1:1" x14ac:dyDescent="0.45">
      <c r="A53" t="s">
        <v>226</v>
      </c>
    </row>
    <row r="54" spans="1:1" x14ac:dyDescent="0.45">
      <c r="A54" t="s">
        <v>1</v>
      </c>
    </row>
    <row r="55" spans="1:1" x14ac:dyDescent="0.45">
      <c r="A55" t="s">
        <v>1</v>
      </c>
    </row>
    <row r="56" spans="1:1" x14ac:dyDescent="0.45">
      <c r="A56" t="s">
        <v>1</v>
      </c>
    </row>
    <row r="57" spans="1:1" x14ac:dyDescent="0.45">
      <c r="A57" t="s">
        <v>227</v>
      </c>
    </row>
    <row r="58" spans="1:1" x14ac:dyDescent="0.45">
      <c r="A58" t="s">
        <v>228</v>
      </c>
    </row>
    <row r="59" spans="1:1" x14ac:dyDescent="0.45">
      <c r="A59" t="s">
        <v>1</v>
      </c>
    </row>
    <row r="60" spans="1:1" x14ac:dyDescent="0.45">
      <c r="A60" t="s">
        <v>1</v>
      </c>
    </row>
    <row r="61" spans="1:1" x14ac:dyDescent="0.45">
      <c r="A61" t="s">
        <v>229</v>
      </c>
    </row>
    <row r="62" spans="1:1" x14ac:dyDescent="0.45">
      <c r="A62" t="s">
        <v>230</v>
      </c>
    </row>
    <row r="63" spans="1:1" x14ac:dyDescent="0.45">
      <c r="A63" t="s">
        <v>231</v>
      </c>
    </row>
    <row r="64" spans="1:1" x14ac:dyDescent="0.45">
      <c r="A64" t="s">
        <v>232</v>
      </c>
    </row>
    <row r="65" spans="1:1" x14ac:dyDescent="0.45">
      <c r="A65" t="s">
        <v>1</v>
      </c>
    </row>
    <row r="66" spans="1:1" x14ac:dyDescent="0.45">
      <c r="A66" t="s">
        <v>233</v>
      </c>
    </row>
    <row r="67" spans="1:1" x14ac:dyDescent="0.45">
      <c r="A67" t="s">
        <v>234</v>
      </c>
    </row>
    <row r="68" spans="1:1" x14ac:dyDescent="0.45">
      <c r="A68" t="s">
        <v>235</v>
      </c>
    </row>
    <row r="69" spans="1:1" x14ac:dyDescent="0.45">
      <c r="A69" t="s">
        <v>236</v>
      </c>
    </row>
    <row r="70" spans="1:1" x14ac:dyDescent="0.45">
      <c r="A70" s="1" t="str">
        <f>"username " &amp; Username &amp; " privilege " &amp; Priviledge_Level &amp; " password 0 " &amp; Password</f>
        <v>username cisco privilege 15 password 0 cisco</v>
      </c>
    </row>
    <row r="71" spans="1:1" x14ac:dyDescent="0.45">
      <c r="A71" t="s">
        <v>1</v>
      </c>
    </row>
    <row r="72" spans="1:1" x14ac:dyDescent="0.45">
      <c r="A72" t="s">
        <v>1</v>
      </c>
    </row>
    <row r="73" spans="1:1" x14ac:dyDescent="0.45">
      <c r="A73" t="s">
        <v>237</v>
      </c>
    </row>
    <row r="74" spans="1:1" x14ac:dyDescent="0.45">
      <c r="A74" t="s">
        <v>238</v>
      </c>
    </row>
    <row r="75" spans="1:1" x14ac:dyDescent="0.45">
      <c r="A75" t="s">
        <v>1</v>
      </c>
    </row>
    <row r="76" spans="1:1" x14ac:dyDescent="0.45">
      <c r="A76" t="s">
        <v>239</v>
      </c>
    </row>
    <row r="77" spans="1:1" x14ac:dyDescent="0.45">
      <c r="A77" t="s">
        <v>240</v>
      </c>
    </row>
    <row r="78" spans="1:1" x14ac:dyDescent="0.45">
      <c r="A78" t="s">
        <v>1</v>
      </c>
    </row>
    <row r="79" spans="1:1" x14ac:dyDescent="0.45">
      <c r="A79" t="s">
        <v>241</v>
      </c>
    </row>
    <row r="80" spans="1:1" x14ac:dyDescent="0.45">
      <c r="A80" t="s">
        <v>242</v>
      </c>
    </row>
    <row r="81" spans="1:1" x14ac:dyDescent="0.45">
      <c r="A81" t="s">
        <v>1</v>
      </c>
    </row>
    <row r="82" spans="1:1" x14ac:dyDescent="0.45">
      <c r="A82" t="s">
        <v>243</v>
      </c>
    </row>
    <row r="83" spans="1:1" x14ac:dyDescent="0.45">
      <c r="A83" t="s">
        <v>244</v>
      </c>
    </row>
    <row r="84" spans="1:1" x14ac:dyDescent="0.45">
      <c r="A84" t="s">
        <v>1</v>
      </c>
    </row>
    <row r="85" spans="1:1" x14ac:dyDescent="0.45">
      <c r="A85" t="s">
        <v>245</v>
      </c>
    </row>
    <row r="86" spans="1:1" x14ac:dyDescent="0.45">
      <c r="A86" t="s">
        <v>246</v>
      </c>
    </row>
    <row r="87" spans="1:1" x14ac:dyDescent="0.45">
      <c r="A87" t="s">
        <v>1</v>
      </c>
    </row>
    <row r="88" spans="1:1" x14ac:dyDescent="0.45">
      <c r="A88" t="s">
        <v>247</v>
      </c>
    </row>
    <row r="89" spans="1:1" x14ac:dyDescent="0.45">
      <c r="A89" t="s">
        <v>248</v>
      </c>
    </row>
    <row r="90" spans="1:1" x14ac:dyDescent="0.45">
      <c r="A90" t="s">
        <v>1</v>
      </c>
    </row>
    <row r="91" spans="1:1" x14ac:dyDescent="0.45">
      <c r="A91" t="s">
        <v>249</v>
      </c>
    </row>
    <row r="92" spans="1:1" x14ac:dyDescent="0.45">
      <c r="A92" t="s">
        <v>250</v>
      </c>
    </row>
    <row r="93" spans="1:1" x14ac:dyDescent="0.45">
      <c r="A93" t="s">
        <v>1</v>
      </c>
    </row>
    <row r="94" spans="1:1" x14ac:dyDescent="0.45">
      <c r="A94" t="s">
        <v>43</v>
      </c>
    </row>
    <row r="95" spans="1:1" x14ac:dyDescent="0.45">
      <c r="A95" t="s">
        <v>1</v>
      </c>
    </row>
    <row r="96" spans="1:1" x14ac:dyDescent="0.45">
      <c r="A96" t="s">
        <v>1</v>
      </c>
    </row>
    <row r="97" spans="1:1" x14ac:dyDescent="0.45">
      <c r="A97" t="s">
        <v>1</v>
      </c>
    </row>
    <row r="98" spans="1:1" x14ac:dyDescent="0.45">
      <c r="A98" t="s">
        <v>1</v>
      </c>
    </row>
    <row r="99" spans="1:1" x14ac:dyDescent="0.45">
      <c r="A99" t="s">
        <v>1</v>
      </c>
    </row>
    <row r="100" spans="1:1" x14ac:dyDescent="0.45">
      <c r="A100" t="s">
        <v>1</v>
      </c>
    </row>
    <row r="101" spans="1:1" x14ac:dyDescent="0.45">
      <c r="A101" t="s">
        <v>1</v>
      </c>
    </row>
    <row r="102" spans="1:1" x14ac:dyDescent="0.45">
      <c r="A102" t="s">
        <v>1</v>
      </c>
    </row>
    <row r="103" spans="1:1" x14ac:dyDescent="0.45">
      <c r="A103" t="s">
        <v>1</v>
      </c>
    </row>
    <row r="104" spans="1:1" x14ac:dyDescent="0.45">
      <c r="A104" t="s">
        <v>1</v>
      </c>
    </row>
    <row r="105" spans="1:1" x14ac:dyDescent="0.45">
      <c r="A105" t="s">
        <v>1</v>
      </c>
    </row>
    <row r="106" spans="1:1" x14ac:dyDescent="0.45">
      <c r="A106" t="s">
        <v>251</v>
      </c>
    </row>
    <row r="107" spans="1:1" x14ac:dyDescent="0.45">
      <c r="A107" t="s">
        <v>252</v>
      </c>
    </row>
    <row r="108" spans="1:1" x14ac:dyDescent="0.45">
      <c r="A108" t="s">
        <v>253</v>
      </c>
    </row>
    <row r="109" spans="1:1" x14ac:dyDescent="0.45">
      <c r="A109" t="s">
        <v>1</v>
      </c>
    </row>
    <row r="110" spans="1:1" x14ac:dyDescent="0.45">
      <c r="A110" t="s">
        <v>254</v>
      </c>
    </row>
    <row r="111" spans="1:1" x14ac:dyDescent="0.45">
      <c r="A111" t="s">
        <v>252</v>
      </c>
    </row>
    <row r="112" spans="1:1" x14ac:dyDescent="0.45">
      <c r="A112" t="s">
        <v>253</v>
      </c>
    </row>
    <row r="113" spans="1:1" x14ac:dyDescent="0.45">
      <c r="A113" t="s">
        <v>1</v>
      </c>
    </row>
    <row r="114" spans="1:1" x14ac:dyDescent="0.45">
      <c r="A114" t="s">
        <v>255</v>
      </c>
    </row>
    <row r="115" spans="1:1" x14ac:dyDescent="0.45">
      <c r="A115" t="s">
        <v>256</v>
      </c>
    </row>
    <row r="116" spans="1:1" x14ac:dyDescent="0.45">
      <c r="A116" t="s">
        <v>257</v>
      </c>
    </row>
    <row r="117" spans="1:1" x14ac:dyDescent="0.45">
      <c r="A117" t="s">
        <v>258</v>
      </c>
    </row>
    <row r="118" spans="1:1" x14ac:dyDescent="0.45">
      <c r="A118" t="s">
        <v>259</v>
      </c>
    </row>
    <row r="119" spans="1:1" x14ac:dyDescent="0.45">
      <c r="A119" t="s">
        <v>1</v>
      </c>
    </row>
    <row r="120" spans="1:1" x14ac:dyDescent="0.45">
      <c r="A120" t="s">
        <v>260</v>
      </c>
    </row>
    <row r="121" spans="1:1" x14ac:dyDescent="0.45">
      <c r="A121" t="s">
        <v>261</v>
      </c>
    </row>
    <row r="122" spans="1:1" x14ac:dyDescent="0.45">
      <c r="A122" t="s">
        <v>257</v>
      </c>
    </row>
    <row r="123" spans="1:1" x14ac:dyDescent="0.45">
      <c r="A123" t="s">
        <v>258</v>
      </c>
    </row>
    <row r="124" spans="1:1" x14ac:dyDescent="0.45">
      <c r="A124" t="s">
        <v>259</v>
      </c>
    </row>
    <row r="125" spans="1:1" x14ac:dyDescent="0.45">
      <c r="A125" t="s">
        <v>1</v>
      </c>
    </row>
    <row r="126" spans="1:1" x14ac:dyDescent="0.45">
      <c r="A126" t="s">
        <v>262</v>
      </c>
    </row>
    <row r="127" spans="1:1" x14ac:dyDescent="0.45">
      <c r="A127" t="s">
        <v>263</v>
      </c>
    </row>
    <row r="128" spans="1:1" x14ac:dyDescent="0.45">
      <c r="A128" t="s">
        <v>264</v>
      </c>
    </row>
    <row r="129" spans="1:1" x14ac:dyDescent="0.45">
      <c r="A129" t="s">
        <v>258</v>
      </c>
    </row>
    <row r="130" spans="1:1" x14ac:dyDescent="0.45">
      <c r="A130" t="s">
        <v>259</v>
      </c>
    </row>
    <row r="131" spans="1:1" x14ac:dyDescent="0.45">
      <c r="A131" t="s">
        <v>1</v>
      </c>
    </row>
    <row r="132" spans="1:1" x14ac:dyDescent="0.45">
      <c r="A132" t="s">
        <v>265</v>
      </c>
    </row>
    <row r="133" spans="1:1" x14ac:dyDescent="0.45">
      <c r="A133" t="s">
        <v>263</v>
      </c>
    </row>
    <row r="134" spans="1:1" x14ac:dyDescent="0.45">
      <c r="A134" t="s">
        <v>264</v>
      </c>
    </row>
    <row r="135" spans="1:1" x14ac:dyDescent="0.45">
      <c r="A135" t="s">
        <v>258</v>
      </c>
    </row>
    <row r="136" spans="1:1" x14ac:dyDescent="0.45">
      <c r="A136" t="s">
        <v>259</v>
      </c>
    </row>
    <row r="137" spans="1:1" x14ac:dyDescent="0.45">
      <c r="A137" t="s">
        <v>1</v>
      </c>
    </row>
    <row r="138" spans="1:1" x14ac:dyDescent="0.45">
      <c r="A138" t="s">
        <v>266</v>
      </c>
    </row>
    <row r="139" spans="1:1" x14ac:dyDescent="0.45">
      <c r="A139" t="s">
        <v>263</v>
      </c>
    </row>
    <row r="140" spans="1:1" x14ac:dyDescent="0.45">
      <c r="A140" t="s">
        <v>264</v>
      </c>
    </row>
    <row r="141" spans="1:1" x14ac:dyDescent="0.45">
      <c r="A141" t="s">
        <v>258</v>
      </c>
    </row>
    <row r="142" spans="1:1" x14ac:dyDescent="0.45">
      <c r="A142" t="s">
        <v>259</v>
      </c>
    </row>
    <row r="143" spans="1:1" x14ac:dyDescent="0.45">
      <c r="A143" t="s">
        <v>1</v>
      </c>
    </row>
    <row r="144" spans="1:1" x14ac:dyDescent="0.45">
      <c r="A144" t="s">
        <v>267</v>
      </c>
    </row>
    <row r="145" spans="1:1" x14ac:dyDescent="0.45">
      <c r="A145" t="s">
        <v>263</v>
      </c>
    </row>
    <row r="146" spans="1:1" x14ac:dyDescent="0.45">
      <c r="A146" t="s">
        <v>264</v>
      </c>
    </row>
    <row r="147" spans="1:1" x14ac:dyDescent="0.45">
      <c r="A147" t="s">
        <v>258</v>
      </c>
    </row>
    <row r="148" spans="1:1" x14ac:dyDescent="0.45">
      <c r="A148" t="s">
        <v>259</v>
      </c>
    </row>
    <row r="149" spans="1:1" x14ac:dyDescent="0.45">
      <c r="A149" t="s">
        <v>1</v>
      </c>
    </row>
    <row r="150" spans="1:1" x14ac:dyDescent="0.45">
      <c r="A150" t="s">
        <v>268</v>
      </c>
    </row>
    <row r="151" spans="1:1" x14ac:dyDescent="0.45">
      <c r="A151" t="s">
        <v>269</v>
      </c>
    </row>
    <row r="152" spans="1:1" x14ac:dyDescent="0.45">
      <c r="A152" t="s">
        <v>270</v>
      </c>
    </row>
    <row r="153" spans="1:1" x14ac:dyDescent="0.45">
      <c r="A153" t="s">
        <v>258</v>
      </c>
    </row>
    <row r="154" spans="1:1" x14ac:dyDescent="0.45">
      <c r="A154" t="s">
        <v>259</v>
      </c>
    </row>
    <row r="155" spans="1:1" x14ac:dyDescent="0.45">
      <c r="A155" t="s">
        <v>1</v>
      </c>
    </row>
    <row r="156" spans="1:1" x14ac:dyDescent="0.45">
      <c r="A156" t="s">
        <v>271</v>
      </c>
    </row>
    <row r="157" spans="1:1" x14ac:dyDescent="0.45">
      <c r="A157" t="s">
        <v>272</v>
      </c>
    </row>
    <row r="158" spans="1:1" x14ac:dyDescent="0.45">
      <c r="A158" t="s">
        <v>253</v>
      </c>
    </row>
    <row r="159" spans="1:1" x14ac:dyDescent="0.45">
      <c r="A159" t="s">
        <v>273</v>
      </c>
    </row>
    <row r="160" spans="1:1" x14ac:dyDescent="0.45">
      <c r="A160" t="s">
        <v>1</v>
      </c>
    </row>
    <row r="161" spans="1:1" x14ac:dyDescent="0.45">
      <c r="A161" t="s">
        <v>274</v>
      </c>
    </row>
    <row r="162" spans="1:1" x14ac:dyDescent="0.45">
      <c r="A162" t="s">
        <v>113</v>
      </c>
    </row>
    <row r="163" spans="1:1" x14ac:dyDescent="0.45">
      <c r="A163" t="s">
        <v>1</v>
      </c>
    </row>
    <row r="164" spans="1:1" x14ac:dyDescent="0.45">
      <c r="A164" t="s">
        <v>275</v>
      </c>
    </row>
    <row r="165" spans="1:1" x14ac:dyDescent="0.45">
      <c r="A165" t="s">
        <v>276</v>
      </c>
    </row>
    <row r="166" spans="1:1" x14ac:dyDescent="0.45">
      <c r="A166" s="1" t="str">
        <f>CONCATENATE(" ip address ",FCAN_Transport_SW_MGMT_IP, " ", FCAN_Transport_MGMT_MASK)</f>
        <v xml:space="preserve"> ip address 172.16.1.188 255.255.255.192</v>
      </c>
    </row>
    <row r="167" spans="1:1" x14ac:dyDescent="0.45">
      <c r="A167" t="s">
        <v>87</v>
      </c>
    </row>
    <row r="168" spans="1:1" x14ac:dyDescent="0.45">
      <c r="A168" t="s">
        <v>88</v>
      </c>
    </row>
    <row r="169" spans="1:1" x14ac:dyDescent="0.45">
      <c r="A169" t="s">
        <v>1</v>
      </c>
    </row>
    <row r="170" spans="1:1" x14ac:dyDescent="0.45">
      <c r="A170" s="1" t="str">
        <f>"ip default-gateway " &amp; FCAN_Transport_MGMT_GW_IP</f>
        <v>ip default-gateway 172.16.1.190</v>
      </c>
    </row>
    <row r="171" spans="1:1" x14ac:dyDescent="0.45">
      <c r="A171" t="s">
        <v>277</v>
      </c>
    </row>
    <row r="172" spans="1:1" x14ac:dyDescent="0.45">
      <c r="A172" t="s">
        <v>278</v>
      </c>
    </row>
    <row r="173" spans="1:1" x14ac:dyDescent="0.45">
      <c r="A173" t="s">
        <v>279</v>
      </c>
    </row>
    <row r="174" spans="1:1" x14ac:dyDescent="0.45">
      <c r="A174" t="s">
        <v>132</v>
      </c>
    </row>
    <row r="175" spans="1:1" x14ac:dyDescent="0.45">
      <c r="A175" t="s">
        <v>1</v>
      </c>
    </row>
    <row r="176" spans="1:1" x14ac:dyDescent="0.45">
      <c r="A176" t="s">
        <v>280</v>
      </c>
    </row>
    <row r="177" spans="1:1" x14ac:dyDescent="0.45">
      <c r="A177" t="s">
        <v>281</v>
      </c>
    </row>
    <row r="178" spans="1:1" x14ac:dyDescent="0.45">
      <c r="A178" t="s">
        <v>282</v>
      </c>
    </row>
    <row r="179" spans="1:1" x14ac:dyDescent="0.45">
      <c r="A179" t="s">
        <v>1</v>
      </c>
    </row>
    <row r="180" spans="1:1" x14ac:dyDescent="0.45">
      <c r="A180" t="s">
        <v>1</v>
      </c>
    </row>
    <row r="181" spans="1:1" x14ac:dyDescent="0.45">
      <c r="A181" t="s">
        <v>283</v>
      </c>
    </row>
    <row r="182" spans="1:1" x14ac:dyDescent="0.45">
      <c r="A182" t="s">
        <v>284</v>
      </c>
    </row>
    <row r="183" spans="1:1" x14ac:dyDescent="0.45">
      <c r="A183" s="1" t="str">
        <f>CONCATENATE("permit ",FCAN_Transport_MGMT_Network, " ",InverseNetmask( FCAN_Transport_MGMT_MASK))</f>
        <v>permit 172.16.1.128 0.0.0.63</v>
      </c>
    </row>
    <row r="184" spans="1:1" x14ac:dyDescent="0.45">
      <c r="A184" t="s">
        <v>285</v>
      </c>
    </row>
    <row r="185" spans="1:1" x14ac:dyDescent="0.45">
      <c r="A185" t="s">
        <v>286</v>
      </c>
    </row>
    <row r="186" spans="1:1" x14ac:dyDescent="0.45">
      <c r="A186" s="1" t="str">
        <f>CONCATENATE("permit ",FCAN_Transport_MGMT_Network, " ",InverseNetmask( FCAN_Transport_MGMT_MASK))</f>
        <v>permit 172.16.1.128 0.0.0.63</v>
      </c>
    </row>
    <row r="187" spans="1:1" x14ac:dyDescent="0.45">
      <c r="A187" t="s">
        <v>1</v>
      </c>
    </row>
    <row r="188" spans="1:1" x14ac:dyDescent="0.45">
      <c r="A188" t="s">
        <v>287</v>
      </c>
    </row>
    <row r="189" spans="1:1" x14ac:dyDescent="0.45">
      <c r="A189" s="1" t="str">
        <f>"logging host " &amp; Logging_Host</f>
        <v>logging host 1.1.1.1</v>
      </c>
    </row>
    <row r="190" spans="1:1" x14ac:dyDescent="0.45">
      <c r="A190" t="s">
        <v>1</v>
      </c>
    </row>
    <row r="191" spans="1:1" x14ac:dyDescent="0.45">
      <c r="A191" t="s">
        <v>1</v>
      </c>
    </row>
    <row r="192" spans="1:1" x14ac:dyDescent="0.45">
      <c r="A192" t="s">
        <v>1</v>
      </c>
    </row>
    <row r="193" spans="1:1" x14ac:dyDescent="0.45">
      <c r="A193" t="s">
        <v>288</v>
      </c>
    </row>
    <row r="194" spans="1:1" x14ac:dyDescent="0.45">
      <c r="A194" t="s">
        <v>289</v>
      </c>
    </row>
    <row r="195" spans="1:1" x14ac:dyDescent="0.45">
      <c r="A195" t="s">
        <v>290</v>
      </c>
    </row>
    <row r="196" spans="1:1" x14ac:dyDescent="0.45">
      <c r="A196" t="s">
        <v>291</v>
      </c>
    </row>
    <row r="197" spans="1:1" x14ac:dyDescent="0.45">
      <c r="A197" t="s">
        <v>1</v>
      </c>
    </row>
    <row r="198" spans="1:1" x14ac:dyDescent="0.45">
      <c r="A198" t="s">
        <v>1</v>
      </c>
    </row>
    <row r="199" spans="1:1" x14ac:dyDescent="0.45">
      <c r="A199" t="s">
        <v>1</v>
      </c>
    </row>
    <row r="200" spans="1:1" x14ac:dyDescent="0.45">
      <c r="A200" t="s">
        <v>145</v>
      </c>
    </row>
    <row r="201" spans="1:1" x14ac:dyDescent="0.45">
      <c r="A201" t="s">
        <v>1</v>
      </c>
    </row>
    <row r="202" spans="1:1" x14ac:dyDescent="0.45">
      <c r="A202" t="s">
        <v>292</v>
      </c>
    </row>
    <row r="203" spans="1:1" x14ac:dyDescent="0.45">
      <c r="A203" t="s">
        <v>293</v>
      </c>
    </row>
    <row r="204" spans="1:1" x14ac:dyDescent="0.45">
      <c r="A204" t="s">
        <v>294</v>
      </c>
    </row>
    <row r="205" spans="1:1" x14ac:dyDescent="0.45">
      <c r="A205" t="s">
        <v>1</v>
      </c>
    </row>
    <row r="206" spans="1:1" x14ac:dyDescent="0.45">
      <c r="A206" t="s">
        <v>146</v>
      </c>
    </row>
    <row r="207" spans="1:1" x14ac:dyDescent="0.45">
      <c r="A207" t="s">
        <v>147</v>
      </c>
    </row>
    <row r="208" spans="1:1" x14ac:dyDescent="0.45">
      <c r="A208" t="s">
        <v>295</v>
      </c>
    </row>
    <row r="209" spans="1:1" x14ac:dyDescent="0.45">
      <c r="A209" t="s">
        <v>148</v>
      </c>
    </row>
    <row r="210" spans="1:1" x14ac:dyDescent="0.45">
      <c r="A210" t="s">
        <v>295</v>
      </c>
    </row>
    <row r="211" spans="1:1" x14ac:dyDescent="0.45">
      <c r="A211" t="s">
        <v>149</v>
      </c>
    </row>
    <row r="212" spans="1:1" x14ac:dyDescent="0.45">
      <c r="A212" t="s">
        <v>296</v>
      </c>
    </row>
    <row r="213" spans="1:1" x14ac:dyDescent="0.45">
      <c r="A213" t="s">
        <v>150</v>
      </c>
    </row>
    <row r="214" spans="1:1" x14ac:dyDescent="0.45">
      <c r="A214" t="s">
        <v>147</v>
      </c>
    </row>
    <row r="215" spans="1:1" x14ac:dyDescent="0.45">
      <c r="A215" t="s">
        <v>151</v>
      </c>
    </row>
    <row r="216" spans="1:1" x14ac:dyDescent="0.45">
      <c r="A216" t="s">
        <v>152</v>
      </c>
    </row>
    <row r="217" spans="1:1" x14ac:dyDescent="0.45">
      <c r="A217" t="s">
        <v>153</v>
      </c>
    </row>
    <row r="218" spans="1:1" x14ac:dyDescent="0.45">
      <c r="A218" t="s">
        <v>296</v>
      </c>
    </row>
    <row r="219" spans="1:1" x14ac:dyDescent="0.45">
      <c r="A219" t="s">
        <v>150</v>
      </c>
    </row>
    <row r="220" spans="1:1" x14ac:dyDescent="0.45">
      <c r="A220" t="s">
        <v>147</v>
      </c>
    </row>
    <row r="221" spans="1:1" x14ac:dyDescent="0.45">
      <c r="A221" t="s">
        <v>151</v>
      </c>
    </row>
    <row r="222" spans="1:1" x14ac:dyDescent="0.45">
      <c r="A222" t="s">
        <v>152</v>
      </c>
    </row>
    <row r="223" spans="1:1" x14ac:dyDescent="0.45">
      <c r="A223" t="s">
        <v>1</v>
      </c>
    </row>
    <row r="224" spans="1:1" x14ac:dyDescent="0.45">
      <c r="A224" t="s">
        <v>297</v>
      </c>
    </row>
    <row r="225" spans="1:1" x14ac:dyDescent="0.45">
      <c r="A225" s="1" t="str">
        <f>"ntp server " &amp; NTP_Server</f>
        <v>ntp server 1.1.1.1</v>
      </c>
    </row>
    <row r="226" spans="1:1" x14ac:dyDescent="0.45">
      <c r="A226" t="s">
        <v>1</v>
      </c>
    </row>
    <row r="227" spans="1:1" x14ac:dyDescent="0.45">
      <c r="A227" t="s">
        <v>298</v>
      </c>
    </row>
    <row r="228" spans="1:1" x14ac:dyDescent="0.45">
      <c r="A228" t="s">
        <v>1</v>
      </c>
    </row>
    <row r="229" spans="1:1" x14ac:dyDescent="0.45">
      <c r="A229" t="s">
        <v>1</v>
      </c>
    </row>
    <row r="230" spans="1:1" x14ac:dyDescent="0.45">
      <c r="A230" t="s">
        <v>1</v>
      </c>
    </row>
    <row r="231" spans="1:1" x14ac:dyDescent="0.45">
      <c r="A231" t="s">
        <v>1</v>
      </c>
    </row>
    <row r="232" spans="1:1" x14ac:dyDescent="0.45">
      <c r="A232" t="s">
        <v>1</v>
      </c>
    </row>
    <row r="233" spans="1:1" x14ac:dyDescent="0.45">
      <c r="A233" t="s">
        <v>154</v>
      </c>
    </row>
  </sheetData>
  <pageMargins left="0.7" right="0.7" top="0.75" bottom="0.75" header="0.3" footer="0.3"/>
  <pageSetup paperSize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3437B-A6A0-42A1-A867-9A8347992755}">
  <sheetPr codeName="Sheet4">
    <tabColor theme="1"/>
  </sheetPr>
  <dimension ref="A1:A260"/>
  <sheetViews>
    <sheetView workbookViewId="0">
      <selection activeCell="A32" sqref="A32"/>
    </sheetView>
  </sheetViews>
  <sheetFormatPr defaultColWidth="8.796875" defaultRowHeight="14.25" x14ac:dyDescent="0.45"/>
  <cols>
    <col min="1" max="1" width="111.1328125" customWidth="1"/>
  </cols>
  <sheetData>
    <row r="1" spans="1:1" x14ac:dyDescent="0.45">
      <c r="A1" t="s">
        <v>305</v>
      </c>
    </row>
    <row r="2" spans="1:1" x14ac:dyDescent="0.45">
      <c r="A2" t="s">
        <v>1</v>
      </c>
    </row>
    <row r="3" spans="1:1" x14ac:dyDescent="0.45">
      <c r="A3" s="1" t="str">
        <f xml:space="preserve"> "hostname FCAN-" &amp; Hostname &amp; "-TF"</f>
        <v>hostname FCAN-100-TF</v>
      </c>
    </row>
    <row r="4" spans="1:1" x14ac:dyDescent="0.45">
      <c r="A4" s="1" t="str">
        <f>"enable password " &amp; Enable_Secret</f>
        <v>enable password cisco</v>
      </c>
    </row>
    <row r="5" spans="1:1" x14ac:dyDescent="0.45">
      <c r="A5" t="s">
        <v>306</v>
      </c>
    </row>
    <row r="6" spans="1:1" x14ac:dyDescent="0.45">
      <c r="A6" t="s">
        <v>307</v>
      </c>
    </row>
    <row r="8" spans="1:1" x14ac:dyDescent="0.45">
      <c r="A8" t="s">
        <v>1</v>
      </c>
    </row>
    <row r="9" spans="1:1" x14ac:dyDescent="0.45">
      <c r="A9" t="s">
        <v>308</v>
      </c>
    </row>
    <row r="10" spans="1:1" x14ac:dyDescent="0.45">
      <c r="A10" t="s">
        <v>309</v>
      </c>
    </row>
    <row r="11" spans="1:1" x14ac:dyDescent="0.45">
      <c r="A11" t="s">
        <v>310</v>
      </c>
    </row>
    <row r="12" spans="1:1" x14ac:dyDescent="0.45">
      <c r="A12" t="s">
        <v>311</v>
      </c>
    </row>
    <row r="13" spans="1:1" x14ac:dyDescent="0.45">
      <c r="A13" t="s">
        <v>312</v>
      </c>
    </row>
    <row r="14" spans="1:1" x14ac:dyDescent="0.45">
      <c r="A14" t="s">
        <v>313</v>
      </c>
    </row>
    <row r="15" spans="1:1" x14ac:dyDescent="0.45">
      <c r="A15" t="s">
        <v>1</v>
      </c>
    </row>
    <row r="16" spans="1:1" x14ac:dyDescent="0.45">
      <c r="A16" t="s">
        <v>314</v>
      </c>
    </row>
    <row r="17" spans="1:1" x14ac:dyDescent="0.45">
      <c r="A17" t="s">
        <v>315</v>
      </c>
    </row>
    <row r="18" spans="1:1" x14ac:dyDescent="0.45">
      <c r="A18" t="s">
        <v>316</v>
      </c>
    </row>
    <row r="19" spans="1:1" x14ac:dyDescent="0.45">
      <c r="A19" s="1" t="str">
        <f>CONCATENATE(" ip address ",FCAN_Transport_FW_Trusted_IP, " ",FCAN_Transport_FW_Trusted_Mask)</f>
        <v xml:space="preserve"> ip address 172.16.1.245 255.255.255.248</v>
      </c>
    </row>
    <row r="20" spans="1:1" x14ac:dyDescent="0.45">
      <c r="A20" t="s">
        <v>317</v>
      </c>
    </row>
    <row r="21" spans="1:1" x14ac:dyDescent="0.45">
      <c r="A21" t="s">
        <v>312</v>
      </c>
    </row>
    <row r="22" spans="1:1" x14ac:dyDescent="0.45">
      <c r="A22" t="s">
        <v>1</v>
      </c>
    </row>
    <row r="23" spans="1:1" x14ac:dyDescent="0.45">
      <c r="A23" t="s">
        <v>318</v>
      </c>
    </row>
    <row r="24" spans="1:1" x14ac:dyDescent="0.45">
      <c r="A24" t="s">
        <v>114</v>
      </c>
    </row>
    <row r="25" spans="1:1" x14ac:dyDescent="0.45">
      <c r="A25" t="s">
        <v>320</v>
      </c>
    </row>
    <row r="26" spans="1:1" x14ac:dyDescent="0.45">
      <c r="A26" t="s">
        <v>321</v>
      </c>
    </row>
    <row r="27" spans="1:1" x14ac:dyDescent="0.45">
      <c r="A27" t="s">
        <v>113</v>
      </c>
    </row>
    <row r="28" spans="1:1" x14ac:dyDescent="0.45">
      <c r="A28" t="s">
        <v>1</v>
      </c>
    </row>
    <row r="29" spans="1:1" x14ac:dyDescent="0.45">
      <c r="A29" t="s">
        <v>319</v>
      </c>
    </row>
    <row r="30" spans="1:1" x14ac:dyDescent="0.45">
      <c r="A30" t="s">
        <v>114</v>
      </c>
    </row>
    <row r="31" spans="1:1" x14ac:dyDescent="0.45">
      <c r="A31" t="s">
        <v>320</v>
      </c>
    </row>
    <row r="32" spans="1:1" x14ac:dyDescent="0.45">
      <c r="A32" t="s">
        <v>321</v>
      </c>
    </row>
    <row r="33" spans="1:1" x14ac:dyDescent="0.45">
      <c r="A33" t="s">
        <v>113</v>
      </c>
    </row>
    <row r="34" spans="1:1" x14ac:dyDescent="0.45">
      <c r="A34" t="s">
        <v>1</v>
      </c>
    </row>
    <row r="35" spans="1:1" x14ac:dyDescent="0.45">
      <c r="A35" t="s">
        <v>322</v>
      </c>
    </row>
    <row r="36" spans="1:1" x14ac:dyDescent="0.45">
      <c r="A36" t="s">
        <v>114</v>
      </c>
    </row>
    <row r="37" spans="1:1" x14ac:dyDescent="0.45">
      <c r="A37" t="s">
        <v>320</v>
      </c>
    </row>
    <row r="38" spans="1:1" x14ac:dyDescent="0.45">
      <c r="A38" t="s">
        <v>321</v>
      </c>
    </row>
    <row r="39" spans="1:1" x14ac:dyDescent="0.45">
      <c r="A39" t="s">
        <v>113</v>
      </c>
    </row>
    <row r="40" spans="1:1" x14ac:dyDescent="0.45">
      <c r="A40" t="s">
        <v>1</v>
      </c>
    </row>
    <row r="41" spans="1:1" x14ac:dyDescent="0.45">
      <c r="A41" t="s">
        <v>323</v>
      </c>
    </row>
    <row r="42" spans="1:1" x14ac:dyDescent="0.45">
      <c r="A42" t="s">
        <v>114</v>
      </c>
    </row>
    <row r="43" spans="1:1" x14ac:dyDescent="0.45">
      <c r="A43" t="s">
        <v>320</v>
      </c>
    </row>
    <row r="44" spans="1:1" x14ac:dyDescent="0.45">
      <c r="A44" t="s">
        <v>321</v>
      </c>
    </row>
    <row r="45" spans="1:1" x14ac:dyDescent="0.45">
      <c r="A45" t="s">
        <v>113</v>
      </c>
    </row>
    <row r="46" spans="1:1" x14ac:dyDescent="0.45">
      <c r="A46" t="s">
        <v>1</v>
      </c>
    </row>
    <row r="47" spans="1:1" x14ac:dyDescent="0.45">
      <c r="A47" t="s">
        <v>324</v>
      </c>
    </row>
    <row r="48" spans="1:1" x14ac:dyDescent="0.45">
      <c r="A48" t="s">
        <v>114</v>
      </c>
    </row>
    <row r="49" spans="1:1" x14ac:dyDescent="0.45">
      <c r="A49" t="s">
        <v>320</v>
      </c>
    </row>
    <row r="50" spans="1:1" x14ac:dyDescent="0.45">
      <c r="A50" t="s">
        <v>321</v>
      </c>
    </row>
    <row r="51" spans="1:1" x14ac:dyDescent="0.45">
      <c r="A51" t="s">
        <v>113</v>
      </c>
    </row>
    <row r="52" spans="1:1" x14ac:dyDescent="0.45">
      <c r="A52" t="s">
        <v>1</v>
      </c>
    </row>
    <row r="53" spans="1:1" x14ac:dyDescent="0.45">
      <c r="A53" t="s">
        <v>325</v>
      </c>
    </row>
    <row r="54" spans="1:1" x14ac:dyDescent="0.45">
      <c r="A54" t="s">
        <v>114</v>
      </c>
    </row>
    <row r="55" spans="1:1" x14ac:dyDescent="0.45">
      <c r="A55" t="s">
        <v>320</v>
      </c>
    </row>
    <row r="56" spans="1:1" x14ac:dyDescent="0.45">
      <c r="A56" t="s">
        <v>321</v>
      </c>
    </row>
    <row r="57" spans="1:1" x14ac:dyDescent="0.45">
      <c r="A57" t="s">
        <v>113</v>
      </c>
    </row>
    <row r="58" spans="1:1" x14ac:dyDescent="0.45">
      <c r="A58" t="s">
        <v>1</v>
      </c>
    </row>
    <row r="59" spans="1:1" x14ac:dyDescent="0.45">
      <c r="A59" t="s">
        <v>326</v>
      </c>
    </row>
    <row r="60" spans="1:1" x14ac:dyDescent="0.45">
      <c r="A60" t="s">
        <v>114</v>
      </c>
    </row>
    <row r="61" spans="1:1" x14ac:dyDescent="0.45">
      <c r="A61" t="s">
        <v>320</v>
      </c>
    </row>
    <row r="62" spans="1:1" x14ac:dyDescent="0.45">
      <c r="A62" t="s">
        <v>321</v>
      </c>
    </row>
    <row r="63" spans="1:1" x14ac:dyDescent="0.45">
      <c r="A63" t="s">
        <v>113</v>
      </c>
    </row>
    <row r="64" spans="1:1" x14ac:dyDescent="0.45">
      <c r="A64" t="s">
        <v>1</v>
      </c>
    </row>
    <row r="65" spans="1:1" x14ac:dyDescent="0.45">
      <c r="A65" t="s">
        <v>327</v>
      </c>
    </row>
    <row r="66" spans="1:1" x14ac:dyDescent="0.45">
      <c r="A66" t="s">
        <v>328</v>
      </c>
    </row>
    <row r="67" spans="1:1" x14ac:dyDescent="0.45">
      <c r="A67" t="s">
        <v>316</v>
      </c>
    </row>
    <row r="68" spans="1:1" x14ac:dyDescent="0.45">
      <c r="A68" s="1" t="str">
        <f>CONCATENATE(" ip address ",FCAN_Transport_FW_MGMT_IP, " ", FCAN_Transport_MGMT_MASK)</f>
        <v xml:space="preserve"> ip address 172.16.1.189 255.255.255.192</v>
      </c>
    </row>
    <row r="69" spans="1:1" x14ac:dyDescent="0.45">
      <c r="A69" t="s">
        <v>1</v>
      </c>
    </row>
    <row r="70" spans="1:1" x14ac:dyDescent="0.45">
      <c r="A70" t="s">
        <v>329</v>
      </c>
    </row>
    <row r="71" spans="1:1" x14ac:dyDescent="0.45">
      <c r="A71" t="s">
        <v>330</v>
      </c>
    </row>
    <row r="72" spans="1:1" x14ac:dyDescent="0.45">
      <c r="A72" t="s">
        <v>331</v>
      </c>
    </row>
    <row r="73" spans="1:1" x14ac:dyDescent="0.45">
      <c r="A73" t="s">
        <v>332</v>
      </c>
    </row>
    <row r="74" spans="1:1" x14ac:dyDescent="0.45">
      <c r="A74" t="s">
        <v>333</v>
      </c>
    </row>
    <row r="75" spans="1:1" x14ac:dyDescent="0.45">
      <c r="A75" t="s">
        <v>334</v>
      </c>
    </row>
    <row r="76" spans="1:1" x14ac:dyDescent="0.45">
      <c r="A76" t="s">
        <v>335</v>
      </c>
    </row>
    <row r="77" spans="1:1" x14ac:dyDescent="0.45">
      <c r="A77" t="s">
        <v>336</v>
      </c>
    </row>
    <row r="78" spans="1:1" x14ac:dyDescent="0.45">
      <c r="A78" t="s">
        <v>337</v>
      </c>
    </row>
    <row r="79" spans="1:1" x14ac:dyDescent="0.45">
      <c r="A79" t="s">
        <v>338</v>
      </c>
    </row>
    <row r="80" spans="1:1" x14ac:dyDescent="0.45">
      <c r="A80" t="s">
        <v>339</v>
      </c>
    </row>
    <row r="81" spans="1:1" x14ac:dyDescent="0.45">
      <c r="A81" t="s">
        <v>340</v>
      </c>
    </row>
    <row r="82" spans="1:1" x14ac:dyDescent="0.45">
      <c r="A82" t="s">
        <v>341</v>
      </c>
    </row>
    <row r="83" spans="1:1" x14ac:dyDescent="0.45">
      <c r="A83" t="s">
        <v>342</v>
      </c>
    </row>
    <row r="84" spans="1:1" x14ac:dyDescent="0.45">
      <c r="A84" t="s">
        <v>343</v>
      </c>
    </row>
    <row r="85" spans="1:1" x14ac:dyDescent="0.45">
      <c r="A85" t="s">
        <v>344</v>
      </c>
    </row>
    <row r="86" spans="1:1" x14ac:dyDescent="0.45">
      <c r="A86" t="s">
        <v>345</v>
      </c>
    </row>
    <row r="87" spans="1:1" x14ac:dyDescent="0.45">
      <c r="A87" t="s">
        <v>341</v>
      </c>
    </row>
    <row r="88" spans="1:1" x14ac:dyDescent="0.45">
      <c r="A88" t="s">
        <v>342</v>
      </c>
    </row>
    <row r="89" spans="1:1" x14ac:dyDescent="0.45">
      <c r="A89" t="s">
        <v>346</v>
      </c>
    </row>
    <row r="90" spans="1:1" x14ac:dyDescent="0.45">
      <c r="A90" t="s">
        <v>344</v>
      </c>
    </row>
    <row r="91" spans="1:1" x14ac:dyDescent="0.45">
      <c r="A91" t="s">
        <v>345</v>
      </c>
    </row>
    <row r="92" spans="1:1" x14ac:dyDescent="0.45">
      <c r="A92" t="s">
        <v>341</v>
      </c>
    </row>
    <row r="93" spans="1:1" x14ac:dyDescent="0.45">
      <c r="A93" t="s">
        <v>342</v>
      </c>
    </row>
    <row r="94" spans="1:1" x14ac:dyDescent="0.45">
      <c r="A94" t="s">
        <v>347</v>
      </c>
    </row>
    <row r="95" spans="1:1" x14ac:dyDescent="0.45">
      <c r="A95" t="s">
        <v>348</v>
      </c>
    </row>
    <row r="96" spans="1:1" x14ac:dyDescent="0.45">
      <c r="A96" t="s">
        <v>349</v>
      </c>
    </row>
    <row r="97" spans="1:1" x14ac:dyDescent="0.45">
      <c r="A97" t="s">
        <v>350</v>
      </c>
    </row>
    <row r="98" spans="1:1" x14ac:dyDescent="0.45">
      <c r="A98" t="s">
        <v>351</v>
      </c>
    </row>
    <row r="99" spans="1:1" x14ac:dyDescent="0.45">
      <c r="A99" t="s">
        <v>352</v>
      </c>
    </row>
    <row r="100" spans="1:1" x14ac:dyDescent="0.45">
      <c r="A100" t="s">
        <v>353</v>
      </c>
    </row>
    <row r="101" spans="1:1" x14ac:dyDescent="0.45">
      <c r="A101" t="s">
        <v>354</v>
      </c>
    </row>
    <row r="102" spans="1:1" x14ac:dyDescent="0.45">
      <c r="A102" t="s">
        <v>355</v>
      </c>
    </row>
    <row r="103" spans="1:1" x14ac:dyDescent="0.45">
      <c r="A103" t="s">
        <v>356</v>
      </c>
    </row>
    <row r="104" spans="1:1" x14ac:dyDescent="0.45">
      <c r="A104" t="s">
        <v>357</v>
      </c>
    </row>
    <row r="105" spans="1:1" x14ac:dyDescent="0.45">
      <c r="A105" t="s">
        <v>358</v>
      </c>
    </row>
    <row r="106" spans="1:1" x14ac:dyDescent="0.45">
      <c r="A106" t="s">
        <v>359</v>
      </c>
    </row>
    <row r="107" spans="1:1" x14ac:dyDescent="0.45">
      <c r="A107" t="s">
        <v>360</v>
      </c>
    </row>
    <row r="108" spans="1:1" x14ac:dyDescent="0.45">
      <c r="A108" t="s">
        <v>361</v>
      </c>
    </row>
    <row r="109" spans="1:1" x14ac:dyDescent="0.45">
      <c r="A109" t="s">
        <v>362</v>
      </c>
    </row>
    <row r="110" spans="1:1" x14ac:dyDescent="0.45">
      <c r="A110" t="s">
        <v>363</v>
      </c>
    </row>
    <row r="111" spans="1:1" x14ac:dyDescent="0.45">
      <c r="A111" t="s">
        <v>364</v>
      </c>
    </row>
    <row r="112" spans="1:1" x14ac:dyDescent="0.45">
      <c r="A112" t="s">
        <v>365</v>
      </c>
    </row>
    <row r="113" spans="1:1" x14ac:dyDescent="0.45">
      <c r="A113" t="s">
        <v>366</v>
      </c>
    </row>
    <row r="114" spans="1:1" x14ac:dyDescent="0.45">
      <c r="A114" t="s">
        <v>1</v>
      </c>
    </row>
    <row r="115" spans="1:1" x14ac:dyDescent="0.45">
      <c r="A115" t="s">
        <v>130</v>
      </c>
    </row>
    <row r="116" spans="1:1" x14ac:dyDescent="0.45">
      <c r="A116" t="s">
        <v>367</v>
      </c>
    </row>
    <row r="117" spans="1:1" x14ac:dyDescent="0.45">
      <c r="A117" t="s">
        <v>368</v>
      </c>
    </row>
    <row r="118" spans="1:1" x14ac:dyDescent="0.45">
      <c r="A118" t="s">
        <v>369</v>
      </c>
    </row>
    <row r="119" spans="1:1" x14ac:dyDescent="0.45">
      <c r="A119" t="s">
        <v>370</v>
      </c>
    </row>
    <row r="120" spans="1:1" x14ac:dyDescent="0.45">
      <c r="A120" t="s">
        <v>1</v>
      </c>
    </row>
    <row r="121" spans="1:1" x14ac:dyDescent="0.45">
      <c r="A121" t="s">
        <v>371</v>
      </c>
    </row>
    <row r="122" spans="1:1" x14ac:dyDescent="0.45">
      <c r="A122" t="s">
        <v>1</v>
      </c>
    </row>
    <row r="123" spans="1:1" x14ac:dyDescent="0.45">
      <c r="A123" t="s">
        <v>372</v>
      </c>
    </row>
    <row r="124" spans="1:1" x14ac:dyDescent="0.45">
      <c r="A124" t="s">
        <v>373</v>
      </c>
    </row>
    <row r="125" spans="1:1" x14ac:dyDescent="0.45">
      <c r="A125" t="s">
        <v>374</v>
      </c>
    </row>
    <row r="126" spans="1:1" x14ac:dyDescent="0.45">
      <c r="A126" t="s">
        <v>375</v>
      </c>
    </row>
    <row r="127" spans="1:1" x14ac:dyDescent="0.45">
      <c r="A127" t="s">
        <v>376</v>
      </c>
    </row>
    <row r="128" spans="1:1" x14ac:dyDescent="0.45">
      <c r="A128" t="s">
        <v>377</v>
      </c>
    </row>
    <row r="129" spans="1:1" x14ac:dyDescent="0.45">
      <c r="A129" t="s">
        <v>378</v>
      </c>
    </row>
    <row r="130" spans="1:1" x14ac:dyDescent="0.45">
      <c r="A130" t="s">
        <v>379</v>
      </c>
    </row>
    <row r="131" spans="1:1" x14ac:dyDescent="0.45">
      <c r="A131" t="s">
        <v>380</v>
      </c>
    </row>
    <row r="132" spans="1:1" x14ac:dyDescent="0.45">
      <c r="A132" t="s">
        <v>381</v>
      </c>
    </row>
    <row r="133" spans="1:1" x14ac:dyDescent="0.45">
      <c r="A133" t="s">
        <v>382</v>
      </c>
    </row>
    <row r="134" spans="1:1" x14ac:dyDescent="0.45">
      <c r="A134" t="s">
        <v>383</v>
      </c>
    </row>
    <row r="135" spans="1:1" x14ac:dyDescent="0.45">
      <c r="A135" t="s">
        <v>384</v>
      </c>
    </row>
    <row r="136" spans="1:1" x14ac:dyDescent="0.45">
      <c r="A136" s="1" t="str">
        <f>CONCATENATE("http ",FCAN_Transport_MGMT_Network, " ", FCAN_Transport_MGMT_MASK, " management")</f>
        <v>http 172.16.1.128 255.255.255.192 management</v>
      </c>
    </row>
    <row r="137" spans="1:1" x14ac:dyDescent="0.45">
      <c r="A137" t="s">
        <v>385</v>
      </c>
    </row>
    <row r="138" spans="1:1" x14ac:dyDescent="0.45">
      <c r="A138" t="s">
        <v>386</v>
      </c>
    </row>
    <row r="139" spans="1:1" x14ac:dyDescent="0.45">
      <c r="A139" t="s">
        <v>387</v>
      </c>
    </row>
    <row r="140" spans="1:1" x14ac:dyDescent="0.45">
      <c r="A140" t="s">
        <v>388</v>
      </c>
    </row>
    <row r="141" spans="1:1" x14ac:dyDescent="0.45">
      <c r="A141" t="s">
        <v>389</v>
      </c>
    </row>
    <row r="142" spans="1:1" x14ac:dyDescent="0.45">
      <c r="A142" t="s">
        <v>390</v>
      </c>
    </row>
    <row r="143" spans="1:1" x14ac:dyDescent="0.45">
      <c r="A143" t="s">
        <v>391</v>
      </c>
    </row>
    <row r="144" spans="1:1" x14ac:dyDescent="0.45">
      <c r="A144" t="s">
        <v>392</v>
      </c>
    </row>
    <row r="145" spans="1:1" x14ac:dyDescent="0.45">
      <c r="A145" t="s">
        <v>393</v>
      </c>
    </row>
    <row r="146" spans="1:1" x14ac:dyDescent="0.45">
      <c r="A146" t="s">
        <v>394</v>
      </c>
    </row>
    <row r="147" spans="1:1" x14ac:dyDescent="0.45">
      <c r="A147" t="s">
        <v>395</v>
      </c>
    </row>
    <row r="148" spans="1:1" x14ac:dyDescent="0.45">
      <c r="A148" t="s">
        <v>396</v>
      </c>
    </row>
    <row r="149" spans="1:1" x14ac:dyDescent="0.45">
      <c r="A149" t="s">
        <v>397</v>
      </c>
    </row>
    <row r="150" spans="1:1" x14ac:dyDescent="0.45">
      <c r="A150" t="s">
        <v>398</v>
      </c>
    </row>
    <row r="151" spans="1:1" x14ac:dyDescent="0.45">
      <c r="A151" t="s">
        <v>399</v>
      </c>
    </row>
    <row r="152" spans="1:1" x14ac:dyDescent="0.45">
      <c r="A152" t="s">
        <v>400</v>
      </c>
    </row>
    <row r="153" spans="1:1" x14ac:dyDescent="0.45">
      <c r="A153" t="s">
        <v>401</v>
      </c>
    </row>
    <row r="154" spans="1:1" x14ac:dyDescent="0.45">
      <c r="A154" t="s">
        <v>402</v>
      </c>
    </row>
    <row r="155" spans="1:1" x14ac:dyDescent="0.45">
      <c r="A155" t="s">
        <v>403</v>
      </c>
    </row>
    <row r="156" spans="1:1" x14ac:dyDescent="0.45">
      <c r="A156" t="s">
        <v>404</v>
      </c>
    </row>
    <row r="157" spans="1:1" x14ac:dyDescent="0.45">
      <c r="A157" t="s">
        <v>405</v>
      </c>
    </row>
    <row r="158" spans="1:1" x14ac:dyDescent="0.45">
      <c r="A158" t="s">
        <v>406</v>
      </c>
    </row>
    <row r="159" spans="1:1" x14ac:dyDescent="0.45">
      <c r="A159" t="s">
        <v>407</v>
      </c>
    </row>
    <row r="160" spans="1:1" x14ac:dyDescent="0.45">
      <c r="A160" t="s">
        <v>408</v>
      </c>
    </row>
    <row r="161" spans="1:1" x14ac:dyDescent="0.45">
      <c r="A161" t="s">
        <v>409</v>
      </c>
    </row>
    <row r="162" spans="1:1" x14ac:dyDescent="0.45">
      <c r="A162" t="s">
        <v>410</v>
      </c>
    </row>
    <row r="163" spans="1:1" x14ac:dyDescent="0.45">
      <c r="A163" t="s">
        <v>411</v>
      </c>
    </row>
    <row r="164" spans="1:1" x14ac:dyDescent="0.45">
      <c r="A164" t="s">
        <v>412</v>
      </c>
    </row>
    <row r="165" spans="1:1" x14ac:dyDescent="0.45">
      <c r="A165" t="s">
        <v>413</v>
      </c>
    </row>
    <row r="166" spans="1:1" x14ac:dyDescent="0.45">
      <c r="A166" t="s">
        <v>414</v>
      </c>
    </row>
    <row r="167" spans="1:1" x14ac:dyDescent="0.45">
      <c r="A167" t="s">
        <v>415</v>
      </c>
    </row>
    <row r="168" spans="1:1" x14ac:dyDescent="0.45">
      <c r="A168" t="s">
        <v>416</v>
      </c>
    </row>
    <row r="169" spans="1:1" x14ac:dyDescent="0.45">
      <c r="A169" t="s">
        <v>417</v>
      </c>
    </row>
    <row r="170" spans="1:1" x14ac:dyDescent="0.45">
      <c r="A170" t="s">
        <v>418</v>
      </c>
    </row>
    <row r="171" spans="1:1" x14ac:dyDescent="0.45">
      <c r="A171" t="s">
        <v>419</v>
      </c>
    </row>
    <row r="172" spans="1:1" x14ac:dyDescent="0.45">
      <c r="A172" t="s">
        <v>420</v>
      </c>
    </row>
    <row r="173" spans="1:1" x14ac:dyDescent="0.45">
      <c r="A173" t="s">
        <v>421</v>
      </c>
    </row>
    <row r="174" spans="1:1" x14ac:dyDescent="0.45">
      <c r="A174" t="s">
        <v>422</v>
      </c>
    </row>
    <row r="175" spans="1:1" x14ac:dyDescent="0.45">
      <c r="A175" t="s">
        <v>423</v>
      </c>
    </row>
    <row r="176" spans="1:1" x14ac:dyDescent="0.45">
      <c r="A176" t="s">
        <v>424</v>
      </c>
    </row>
    <row r="177" spans="1:1" x14ac:dyDescent="0.45">
      <c r="A177" t="s">
        <v>425</v>
      </c>
    </row>
    <row r="178" spans="1:1" x14ac:dyDescent="0.45">
      <c r="A178" t="s">
        <v>426</v>
      </c>
    </row>
    <row r="179" spans="1:1" x14ac:dyDescent="0.45">
      <c r="A179" t="s">
        <v>427</v>
      </c>
    </row>
    <row r="180" spans="1:1" x14ac:dyDescent="0.45">
      <c r="A180" t="s">
        <v>428</v>
      </c>
    </row>
    <row r="181" spans="1:1" x14ac:dyDescent="0.45">
      <c r="A181" t="s">
        <v>429</v>
      </c>
    </row>
    <row r="182" spans="1:1" x14ac:dyDescent="0.45">
      <c r="A182" t="s">
        <v>430</v>
      </c>
    </row>
    <row r="183" spans="1:1" x14ac:dyDescent="0.45">
      <c r="A183" t="s">
        <v>431</v>
      </c>
    </row>
    <row r="184" spans="1:1" x14ac:dyDescent="0.45">
      <c r="A184" s="17" t="s">
        <v>432</v>
      </c>
    </row>
    <row r="185" spans="1:1" x14ac:dyDescent="0.45">
      <c r="A185" t="s">
        <v>433</v>
      </c>
    </row>
    <row r="186" spans="1:1" x14ac:dyDescent="0.45">
      <c r="A186" t="s">
        <v>434</v>
      </c>
    </row>
    <row r="187" spans="1:1" x14ac:dyDescent="0.45">
      <c r="A187" t="s">
        <v>435</v>
      </c>
    </row>
    <row r="188" spans="1:1" x14ac:dyDescent="0.45">
      <c r="A188" t="s">
        <v>436</v>
      </c>
    </row>
    <row r="189" spans="1:1" x14ac:dyDescent="0.45">
      <c r="A189" t="s">
        <v>437</v>
      </c>
    </row>
    <row r="190" spans="1:1" x14ac:dyDescent="0.45">
      <c r="A190" t="s">
        <v>438</v>
      </c>
    </row>
    <row r="191" spans="1:1" x14ac:dyDescent="0.45">
      <c r="A191" t="s">
        <v>439</v>
      </c>
    </row>
    <row r="192" spans="1:1" x14ac:dyDescent="0.45">
      <c r="A192" t="s">
        <v>440</v>
      </c>
    </row>
    <row r="193" spans="1:1" x14ac:dyDescent="0.45">
      <c r="A193" t="s">
        <v>441</v>
      </c>
    </row>
    <row r="194" spans="1:1" x14ac:dyDescent="0.45">
      <c r="A194" t="s">
        <v>442</v>
      </c>
    </row>
    <row r="195" spans="1:1" x14ac:dyDescent="0.45">
      <c r="A195" t="s">
        <v>443</v>
      </c>
    </row>
    <row r="196" spans="1:1" x14ac:dyDescent="0.45">
      <c r="A196" s="1" t="str">
        <f>CONCATENATE("ssh ",FCAN_Transport_MGMT_Network, " ", FCAN_Transport_MGMT_MASK, " management")</f>
        <v>ssh 172.16.1.128 255.255.255.192 management</v>
      </c>
    </row>
    <row r="197" spans="1:1" x14ac:dyDescent="0.45">
      <c r="A197" t="s">
        <v>444</v>
      </c>
    </row>
    <row r="198" spans="1:1" x14ac:dyDescent="0.45">
      <c r="A198" t="s">
        <v>445</v>
      </c>
    </row>
    <row r="199" spans="1:1" x14ac:dyDescent="0.45">
      <c r="A199" t="s">
        <v>1</v>
      </c>
    </row>
    <row r="200" spans="1:1" x14ac:dyDescent="0.45">
      <c r="A200" t="s">
        <v>1</v>
      </c>
    </row>
    <row r="201" spans="1:1" x14ac:dyDescent="0.45">
      <c r="A201" t="s">
        <v>1</v>
      </c>
    </row>
    <row r="202" spans="1:1" x14ac:dyDescent="0.45">
      <c r="A202" t="s">
        <v>1</v>
      </c>
    </row>
    <row r="203" spans="1:1" x14ac:dyDescent="0.45">
      <c r="A203" t="s">
        <v>1</v>
      </c>
    </row>
    <row r="204" spans="1:1" x14ac:dyDescent="0.45">
      <c r="A204" t="s">
        <v>446</v>
      </c>
    </row>
    <row r="205" spans="1:1" x14ac:dyDescent="0.45">
      <c r="A205" t="s">
        <v>447</v>
      </c>
    </row>
    <row r="206" spans="1:1" x14ac:dyDescent="0.45">
      <c r="A206" t="s">
        <v>448</v>
      </c>
    </row>
    <row r="207" spans="1:1" x14ac:dyDescent="0.45">
      <c r="A207" t="s">
        <v>449</v>
      </c>
    </row>
    <row r="208" spans="1:1" x14ac:dyDescent="0.45">
      <c r="A208" s="1" t="str">
        <f>CONCATENATE("username ",Username, " password ", Password, " privilege ", Priviledge_Level)</f>
        <v>username cisco password cisco privilege 15</v>
      </c>
    </row>
    <row r="209" spans="1:1" x14ac:dyDescent="0.45">
      <c r="A209" t="s">
        <v>1</v>
      </c>
    </row>
    <row r="210" spans="1:1" x14ac:dyDescent="0.45">
      <c r="A210" t="s">
        <v>450</v>
      </c>
    </row>
    <row r="211" spans="1:1" x14ac:dyDescent="0.45">
      <c r="A211" t="s">
        <v>451</v>
      </c>
    </row>
    <row r="212" spans="1:1" x14ac:dyDescent="0.45">
      <c r="A212" t="s">
        <v>1</v>
      </c>
    </row>
    <row r="213" spans="1:1" x14ac:dyDescent="0.45">
      <c r="A213" t="s">
        <v>1</v>
      </c>
    </row>
    <row r="214" spans="1:1" x14ac:dyDescent="0.45">
      <c r="A214" t="s">
        <v>452</v>
      </c>
    </row>
    <row r="215" spans="1:1" x14ac:dyDescent="0.45">
      <c r="A215" t="s">
        <v>453</v>
      </c>
    </row>
    <row r="216" spans="1:1" x14ac:dyDescent="0.45">
      <c r="A216" t="s">
        <v>454</v>
      </c>
    </row>
    <row r="217" spans="1:1" x14ac:dyDescent="0.45">
      <c r="A217" t="s">
        <v>455</v>
      </c>
    </row>
    <row r="218" spans="1:1" x14ac:dyDescent="0.45">
      <c r="A218" t="s">
        <v>456</v>
      </c>
    </row>
    <row r="219" spans="1:1" x14ac:dyDescent="0.45">
      <c r="A219" t="s">
        <v>457</v>
      </c>
    </row>
    <row r="220" spans="1:1" x14ac:dyDescent="0.45">
      <c r="A220" t="s">
        <v>458</v>
      </c>
    </row>
    <row r="221" spans="1:1" x14ac:dyDescent="0.45">
      <c r="A221" t="s">
        <v>459</v>
      </c>
    </row>
    <row r="222" spans="1:1" x14ac:dyDescent="0.45">
      <c r="A222" t="s">
        <v>460</v>
      </c>
    </row>
    <row r="223" spans="1:1" x14ac:dyDescent="0.45">
      <c r="A223" t="s">
        <v>461</v>
      </c>
    </row>
    <row r="224" spans="1:1" x14ac:dyDescent="0.45">
      <c r="A224" t="s">
        <v>462</v>
      </c>
    </row>
    <row r="225" spans="1:1" x14ac:dyDescent="0.45">
      <c r="A225" t="s">
        <v>463</v>
      </c>
    </row>
    <row r="226" spans="1:1" x14ac:dyDescent="0.45">
      <c r="A226" t="s">
        <v>464</v>
      </c>
    </row>
    <row r="227" spans="1:1" x14ac:dyDescent="0.45">
      <c r="A227" t="s">
        <v>465</v>
      </c>
    </row>
    <row r="228" spans="1:1" x14ac:dyDescent="0.45">
      <c r="A228" t="s">
        <v>466</v>
      </c>
    </row>
    <row r="229" spans="1:1" x14ac:dyDescent="0.45">
      <c r="A229" t="s">
        <v>467</v>
      </c>
    </row>
    <row r="230" spans="1:1" x14ac:dyDescent="0.45">
      <c r="A230" t="s">
        <v>468</v>
      </c>
    </row>
    <row r="231" spans="1:1" x14ac:dyDescent="0.45">
      <c r="A231" t="s">
        <v>469</v>
      </c>
    </row>
    <row r="232" spans="1:1" x14ac:dyDescent="0.45">
      <c r="A232" t="s">
        <v>470</v>
      </c>
    </row>
    <row r="233" spans="1:1" x14ac:dyDescent="0.45">
      <c r="A233" t="s">
        <v>471</v>
      </c>
    </row>
    <row r="234" spans="1:1" x14ac:dyDescent="0.45">
      <c r="A234" t="s">
        <v>472</v>
      </c>
    </row>
    <row r="235" spans="1:1" x14ac:dyDescent="0.45">
      <c r="A235" t="s">
        <v>473</v>
      </c>
    </row>
    <row r="236" spans="1:1" x14ac:dyDescent="0.45">
      <c r="A236" t="s">
        <v>474</v>
      </c>
    </row>
    <row r="237" spans="1:1" x14ac:dyDescent="0.45">
      <c r="A237" t="s">
        <v>453</v>
      </c>
    </row>
    <row r="238" spans="1:1" x14ac:dyDescent="0.45">
      <c r="A238" t="s">
        <v>454</v>
      </c>
    </row>
    <row r="239" spans="1:1" x14ac:dyDescent="0.45">
      <c r="A239" t="s">
        <v>455</v>
      </c>
    </row>
    <row r="240" spans="1:1" x14ac:dyDescent="0.45">
      <c r="A240" t="s">
        <v>456</v>
      </c>
    </row>
    <row r="241" spans="1:1" x14ac:dyDescent="0.45">
      <c r="A241" t="s">
        <v>1</v>
      </c>
    </row>
    <row r="242" spans="1:1" x14ac:dyDescent="0.45">
      <c r="A242" t="s">
        <v>475</v>
      </c>
    </row>
    <row r="243" spans="1:1" x14ac:dyDescent="0.45">
      <c r="A243" t="s">
        <v>476</v>
      </c>
    </row>
    <row r="244" spans="1:1" x14ac:dyDescent="0.45">
      <c r="A244" t="s">
        <v>477</v>
      </c>
    </row>
    <row r="245" spans="1:1" x14ac:dyDescent="0.45">
      <c r="A245" t="s">
        <v>19</v>
      </c>
    </row>
    <row r="246" spans="1:1" x14ac:dyDescent="0.45">
      <c r="A246" t="s">
        <v>478</v>
      </c>
    </row>
    <row r="247" spans="1:1" x14ac:dyDescent="0.45">
      <c r="A247" t="s">
        <v>479</v>
      </c>
    </row>
    <row r="248" spans="1:1" x14ac:dyDescent="0.45">
      <c r="A248" t="s">
        <v>480</v>
      </c>
    </row>
    <row r="249" spans="1:1" x14ac:dyDescent="0.45">
      <c r="A249" t="s">
        <v>481</v>
      </c>
    </row>
    <row r="250" spans="1:1" x14ac:dyDescent="0.45">
      <c r="A250" t="s">
        <v>25</v>
      </c>
    </row>
    <row r="251" spans="1:1" x14ac:dyDescent="0.45">
      <c r="A251" t="s">
        <v>482</v>
      </c>
    </row>
    <row r="252" spans="1:1" x14ac:dyDescent="0.45">
      <c r="A252" t="s">
        <v>483</v>
      </c>
    </row>
    <row r="253" spans="1:1" x14ac:dyDescent="0.45">
      <c r="A253" t="s">
        <v>484</v>
      </c>
    </row>
    <row r="254" spans="1:1" x14ac:dyDescent="0.45">
      <c r="A254" t="s">
        <v>485</v>
      </c>
    </row>
    <row r="255" spans="1:1" x14ac:dyDescent="0.45">
      <c r="A255" t="s">
        <v>486</v>
      </c>
    </row>
    <row r="256" spans="1:1" x14ac:dyDescent="0.45">
      <c r="A256" t="s">
        <v>487</v>
      </c>
    </row>
    <row r="257" spans="1:1" x14ac:dyDescent="0.45">
      <c r="A257" t="s">
        <v>480</v>
      </c>
    </row>
    <row r="258" spans="1:1" x14ac:dyDescent="0.45">
      <c r="A258" t="s">
        <v>25</v>
      </c>
    </row>
    <row r="259" spans="1:1" x14ac:dyDescent="0.45">
      <c r="A259" t="s">
        <v>488</v>
      </c>
    </row>
    <row r="260" spans="1:1" x14ac:dyDescent="0.45">
      <c r="A260" t="s">
        <v>489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33449-5706-424D-9D70-C734BFD2E9E8}">
  <sheetPr codeName="Sheet5">
    <tabColor rgb="FFFF0000"/>
  </sheetPr>
  <dimension ref="A1:A351"/>
  <sheetViews>
    <sheetView workbookViewId="0">
      <selection activeCell="A73" sqref="A73"/>
    </sheetView>
  </sheetViews>
  <sheetFormatPr defaultColWidth="8.796875" defaultRowHeight="14.25" x14ac:dyDescent="0.45"/>
  <cols>
    <col min="1" max="1" width="115.796875" customWidth="1"/>
  </cols>
  <sheetData>
    <row r="1" spans="1:1" x14ac:dyDescent="0.45">
      <c r="A1" t="s">
        <v>2</v>
      </c>
    </row>
    <row r="2" spans="1:1" x14ac:dyDescent="0.45">
      <c r="A2" t="s">
        <v>3</v>
      </c>
    </row>
    <row r="3" spans="1:1" x14ac:dyDescent="0.45">
      <c r="A3" t="s">
        <v>4</v>
      </c>
    </row>
    <row r="4" spans="1:1" x14ac:dyDescent="0.45">
      <c r="A4" t="s">
        <v>5</v>
      </c>
    </row>
    <row r="5" spans="1:1" x14ac:dyDescent="0.45">
      <c r="A5" t="s">
        <v>1</v>
      </c>
    </row>
    <row r="6" spans="1:1" x14ac:dyDescent="0.45">
      <c r="A6" s="1" t="str">
        <f xml:space="preserve"> "hostname UCAN-" &amp; Hostname &amp; "-TR"</f>
        <v>hostname UCAN-100-TR</v>
      </c>
    </row>
    <row r="7" spans="1:1" x14ac:dyDescent="0.45">
      <c r="A7" t="s">
        <v>1</v>
      </c>
    </row>
    <row r="8" spans="1:1" x14ac:dyDescent="0.45">
      <c r="A8" t="s">
        <v>6</v>
      </c>
    </row>
    <row r="9" spans="1:1" x14ac:dyDescent="0.45">
      <c r="A9" t="s">
        <v>7</v>
      </c>
    </row>
    <row r="10" spans="1:1" x14ac:dyDescent="0.45">
      <c r="A10" t="s">
        <v>1</v>
      </c>
    </row>
    <row r="11" spans="1:1" x14ac:dyDescent="0.45">
      <c r="A11" t="s">
        <v>1</v>
      </c>
    </row>
    <row r="12" spans="1:1" x14ac:dyDescent="0.45">
      <c r="A12" s="1" t="str">
        <f>"enable secret " &amp; Enable_Secret</f>
        <v>enable secret cisco</v>
      </c>
    </row>
    <row r="13" spans="1:1" x14ac:dyDescent="0.45">
      <c r="A13" t="s">
        <v>1</v>
      </c>
    </row>
    <row r="14" spans="1:1" x14ac:dyDescent="0.45">
      <c r="A14" t="s">
        <v>8</v>
      </c>
    </row>
    <row r="15" spans="1:1" x14ac:dyDescent="0.45">
      <c r="A15" t="s">
        <v>1</v>
      </c>
    </row>
    <row r="16" spans="1:1" x14ac:dyDescent="0.45">
      <c r="A16" t="s">
        <v>1</v>
      </c>
    </row>
    <row r="17" spans="1:1" x14ac:dyDescent="0.45">
      <c r="A17" t="s">
        <v>9</v>
      </c>
    </row>
    <row r="18" spans="1:1" x14ac:dyDescent="0.45">
      <c r="A18" t="s">
        <v>10</v>
      </c>
    </row>
    <row r="19" spans="1:1" x14ac:dyDescent="0.45">
      <c r="A19" t="s">
        <v>11</v>
      </c>
    </row>
    <row r="20" spans="1:1" x14ac:dyDescent="0.45">
      <c r="A20" t="s">
        <v>12</v>
      </c>
    </row>
    <row r="21" spans="1:1" x14ac:dyDescent="0.45">
      <c r="A21" t="s">
        <v>1</v>
      </c>
    </row>
    <row r="22" spans="1:1" x14ac:dyDescent="0.45">
      <c r="A22" t="s">
        <v>1</v>
      </c>
    </row>
    <row r="23" spans="1:1" x14ac:dyDescent="0.45">
      <c r="A23" t="s">
        <v>1</v>
      </c>
    </row>
    <row r="24" spans="1:1" x14ac:dyDescent="0.45">
      <c r="A24" t="s">
        <v>1</v>
      </c>
    </row>
    <row r="25" spans="1:1" x14ac:dyDescent="0.45">
      <c r="A25" t="s">
        <v>1</v>
      </c>
    </row>
    <row r="26" spans="1:1" x14ac:dyDescent="0.45">
      <c r="A26" t="s">
        <v>1</v>
      </c>
    </row>
    <row r="27" spans="1:1" x14ac:dyDescent="0.45">
      <c r="A27" t="s">
        <v>13</v>
      </c>
    </row>
    <row r="28" spans="1:1" x14ac:dyDescent="0.45">
      <c r="A28" t="s">
        <v>14</v>
      </c>
    </row>
    <row r="29" spans="1:1" x14ac:dyDescent="0.45">
      <c r="A29" t="s">
        <v>15</v>
      </c>
    </row>
    <row r="30" spans="1:1" x14ac:dyDescent="0.45">
      <c r="A30" t="s">
        <v>16</v>
      </c>
    </row>
    <row r="31" spans="1:1" x14ac:dyDescent="0.45">
      <c r="A31" t="s">
        <v>17</v>
      </c>
    </row>
    <row r="32" spans="1:1" x14ac:dyDescent="0.45">
      <c r="A32" t="s">
        <v>18</v>
      </c>
    </row>
    <row r="33" spans="1:1" x14ac:dyDescent="0.45">
      <c r="A33" t="s">
        <v>19</v>
      </c>
    </row>
    <row r="34" spans="1:1" x14ac:dyDescent="0.45">
      <c r="A34" t="s">
        <v>20</v>
      </c>
    </row>
    <row r="35" spans="1:1" x14ac:dyDescent="0.45">
      <c r="A35" t="s">
        <v>21</v>
      </c>
    </row>
    <row r="36" spans="1:1" x14ac:dyDescent="0.45">
      <c r="A36" t="s">
        <v>22</v>
      </c>
    </row>
    <row r="37" spans="1:1" x14ac:dyDescent="0.45">
      <c r="A37" t="s">
        <v>23</v>
      </c>
    </row>
    <row r="38" spans="1:1" x14ac:dyDescent="0.45">
      <c r="A38" t="s">
        <v>24</v>
      </c>
    </row>
    <row r="39" spans="1:1" x14ac:dyDescent="0.45">
      <c r="A39" t="s">
        <v>25</v>
      </c>
    </row>
    <row r="40" spans="1:1" x14ac:dyDescent="0.45">
      <c r="A40" t="s">
        <v>26</v>
      </c>
    </row>
    <row r="41" spans="1:1" x14ac:dyDescent="0.45">
      <c r="A41" t="s">
        <v>1</v>
      </c>
    </row>
    <row r="42" spans="1:1" x14ac:dyDescent="0.45">
      <c r="A42" t="s">
        <v>1</v>
      </c>
    </row>
    <row r="43" spans="1:1" x14ac:dyDescent="0.45">
      <c r="A43" t="s">
        <v>1</v>
      </c>
    </row>
    <row r="44" spans="1:1" x14ac:dyDescent="0.45">
      <c r="A44" t="s">
        <v>1</v>
      </c>
    </row>
    <row r="45" spans="1:1" x14ac:dyDescent="0.45">
      <c r="A45" t="s">
        <v>1</v>
      </c>
    </row>
    <row r="46" spans="1:1" x14ac:dyDescent="0.45">
      <c r="A46" t="s">
        <v>1</v>
      </c>
    </row>
    <row r="47" spans="1:1" x14ac:dyDescent="0.45">
      <c r="A47" t="s">
        <v>1</v>
      </c>
    </row>
    <row r="48" spans="1:1" x14ac:dyDescent="0.45">
      <c r="A48" t="s">
        <v>1</v>
      </c>
    </row>
    <row r="49" spans="1:1" x14ac:dyDescent="0.45">
      <c r="A49" t="s">
        <v>1</v>
      </c>
    </row>
    <row r="50" spans="1:1" x14ac:dyDescent="0.45">
      <c r="A50" t="s">
        <v>1</v>
      </c>
    </row>
    <row r="53" spans="1:1" x14ac:dyDescent="0.45">
      <c r="A53" t="s">
        <v>1</v>
      </c>
    </row>
    <row r="54" spans="1:1" x14ac:dyDescent="0.45">
      <c r="A54" t="s">
        <v>27</v>
      </c>
    </row>
    <row r="55" spans="1:1" x14ac:dyDescent="0.45">
      <c r="A55" t="s">
        <v>28</v>
      </c>
    </row>
    <row r="56" spans="1:1" x14ac:dyDescent="0.45">
      <c r="A56" t="s">
        <v>1</v>
      </c>
    </row>
    <row r="57" spans="1:1" x14ac:dyDescent="0.45">
      <c r="A57" t="s">
        <v>29</v>
      </c>
    </row>
    <row r="58" spans="1:1" x14ac:dyDescent="0.45">
      <c r="A58" t="s">
        <v>30</v>
      </c>
    </row>
    <row r="59" spans="1:1" x14ac:dyDescent="0.45">
      <c r="A59" t="s">
        <v>1</v>
      </c>
    </row>
    <row r="60" spans="1:1" x14ac:dyDescent="0.45">
      <c r="A60" t="s">
        <v>31</v>
      </c>
    </row>
    <row r="61" spans="1:1" x14ac:dyDescent="0.45">
      <c r="A61" t="s">
        <v>1</v>
      </c>
    </row>
    <row r="62" spans="1:1" x14ac:dyDescent="0.45">
      <c r="A62" t="s">
        <v>1</v>
      </c>
    </row>
    <row r="63" spans="1:1" x14ac:dyDescent="0.45">
      <c r="A63" t="s">
        <v>1</v>
      </c>
    </row>
    <row r="64" spans="1:1" x14ac:dyDescent="0.45">
      <c r="A64" s="1" t="str">
        <f>"ip domain name " &amp; Domain_Name</f>
        <v>ip domain name TNET.local</v>
      </c>
    </row>
    <row r="65" spans="1:1" x14ac:dyDescent="0.45">
      <c r="A65" t="s">
        <v>32</v>
      </c>
    </row>
    <row r="66" spans="1:1" x14ac:dyDescent="0.45">
      <c r="A66" t="s">
        <v>33</v>
      </c>
    </row>
    <row r="67" spans="1:1" x14ac:dyDescent="0.45">
      <c r="A67" t="s">
        <v>1</v>
      </c>
    </row>
    <row r="68" spans="1:1" x14ac:dyDescent="0.45">
      <c r="A68" t="s">
        <v>34</v>
      </c>
    </row>
    <row r="69" spans="1:1" x14ac:dyDescent="0.45">
      <c r="A69" t="s">
        <v>1</v>
      </c>
    </row>
    <row r="70" spans="1:1" x14ac:dyDescent="0.45">
      <c r="A70" t="s">
        <v>1</v>
      </c>
    </row>
    <row r="71" spans="1:1" x14ac:dyDescent="0.45">
      <c r="A71" t="s">
        <v>1</v>
      </c>
    </row>
    <row r="72" spans="1:1" x14ac:dyDescent="0.45">
      <c r="A72" t="s">
        <v>1</v>
      </c>
    </row>
    <row r="73" spans="1:1" x14ac:dyDescent="0.45">
      <c r="A73" t="s">
        <v>1</v>
      </c>
    </row>
    <row r="74" spans="1:1" x14ac:dyDescent="0.45">
      <c r="A74" t="s">
        <v>1</v>
      </c>
    </row>
    <row r="75" spans="1:1" x14ac:dyDescent="0.45">
      <c r="A75" t="s">
        <v>1</v>
      </c>
    </row>
    <row r="76" spans="1:1" x14ac:dyDescent="0.45">
      <c r="A76" t="s">
        <v>1</v>
      </c>
    </row>
    <row r="77" spans="1:1" x14ac:dyDescent="0.45">
      <c r="A77" t="s">
        <v>1</v>
      </c>
    </row>
    <row r="78" spans="1:1" x14ac:dyDescent="0.45">
      <c r="A78" t="s">
        <v>35</v>
      </c>
    </row>
    <row r="79" spans="1:1" x14ac:dyDescent="0.45">
      <c r="A79" t="s">
        <v>36</v>
      </c>
    </row>
    <row r="80" spans="1:1" x14ac:dyDescent="0.45">
      <c r="A80" t="s">
        <v>37</v>
      </c>
    </row>
    <row r="81" spans="1:1" x14ac:dyDescent="0.45">
      <c r="A81" t="s">
        <v>1</v>
      </c>
    </row>
    <row r="82" spans="1:1" x14ac:dyDescent="0.45">
      <c r="A82" t="s">
        <v>1</v>
      </c>
    </row>
    <row r="83" spans="1:1" x14ac:dyDescent="0.45">
      <c r="A83" t="s">
        <v>38</v>
      </c>
    </row>
    <row r="84" spans="1:1" x14ac:dyDescent="0.45">
      <c r="A84" t="s">
        <v>39</v>
      </c>
    </row>
    <row r="85" spans="1:1" x14ac:dyDescent="0.45">
      <c r="A85" t="s">
        <v>40</v>
      </c>
    </row>
    <row r="86" spans="1:1" x14ac:dyDescent="0.45">
      <c r="A86" t="s">
        <v>41</v>
      </c>
    </row>
    <row r="87" spans="1:1" x14ac:dyDescent="0.45">
      <c r="A87" s="1" t="str">
        <f>"username " &amp; Username &amp; " privilege " &amp; Priviledge_Level &amp; " password 0 " &amp; Password</f>
        <v>username cisco privilege 15 password 0 cisco</v>
      </c>
    </row>
    <row r="88" spans="1:1" x14ac:dyDescent="0.45">
      <c r="A88" t="s">
        <v>1</v>
      </c>
    </row>
    <row r="89" spans="1:1" x14ac:dyDescent="0.45">
      <c r="A89" t="s">
        <v>42</v>
      </c>
    </row>
    <row r="90" spans="1:1" x14ac:dyDescent="0.45">
      <c r="A90" t="s">
        <v>1</v>
      </c>
    </row>
    <row r="91" spans="1:1" x14ac:dyDescent="0.45">
      <c r="A91" t="s">
        <v>1</v>
      </c>
    </row>
    <row r="92" spans="1:1" x14ac:dyDescent="0.45">
      <c r="A92" t="s">
        <v>43</v>
      </c>
    </row>
    <row r="93" spans="1:1" x14ac:dyDescent="0.45">
      <c r="A93" t="s">
        <v>1</v>
      </c>
    </row>
    <row r="94" spans="1:1" x14ac:dyDescent="0.45">
      <c r="A94" t="s">
        <v>44</v>
      </c>
    </row>
    <row r="95" spans="1:1" x14ac:dyDescent="0.45">
      <c r="A95" t="s">
        <v>45</v>
      </c>
    </row>
    <row r="96" spans="1:1" x14ac:dyDescent="0.45">
      <c r="A96" t="s">
        <v>46</v>
      </c>
    </row>
    <row r="97" spans="1:1" x14ac:dyDescent="0.45">
      <c r="A97" t="s">
        <v>47</v>
      </c>
    </row>
    <row r="98" spans="1:1" x14ac:dyDescent="0.45">
      <c r="A98" t="s">
        <v>1</v>
      </c>
    </row>
    <row r="99" spans="1:1" x14ac:dyDescent="0.45">
      <c r="A99" t="s">
        <v>48</v>
      </c>
    </row>
    <row r="100" spans="1:1" x14ac:dyDescent="0.45">
      <c r="A100" t="s">
        <v>49</v>
      </c>
    </row>
    <row r="101" spans="1:1" x14ac:dyDescent="0.45">
      <c r="A101" t="s">
        <v>50</v>
      </c>
    </row>
    <row r="102" spans="1:1" x14ac:dyDescent="0.45">
      <c r="A102" t="s">
        <v>51</v>
      </c>
    </row>
    <row r="103" spans="1:1" x14ac:dyDescent="0.45">
      <c r="A103" t="s">
        <v>1</v>
      </c>
    </row>
    <row r="104" spans="1:1" x14ac:dyDescent="0.45">
      <c r="A104" t="s">
        <v>52</v>
      </c>
    </row>
    <row r="105" spans="1:1" x14ac:dyDescent="0.45">
      <c r="A105" t="s">
        <v>53</v>
      </c>
    </row>
    <row r="106" spans="1:1" x14ac:dyDescent="0.45">
      <c r="A106" t="s">
        <v>54</v>
      </c>
    </row>
    <row r="107" spans="1:1" x14ac:dyDescent="0.45">
      <c r="A107" s="1" t="str">
        <f xml:space="preserve"> "pre-shared-key " &amp; WGS_PSK</f>
        <v>pre-shared-key Key1</v>
      </c>
    </row>
    <row r="108" spans="1:1" x14ac:dyDescent="0.45">
      <c r="A108" t="s">
        <v>55</v>
      </c>
    </row>
    <row r="109" spans="1:1" x14ac:dyDescent="0.45">
      <c r="A109" t="s">
        <v>1</v>
      </c>
    </row>
    <row r="110" spans="1:1" x14ac:dyDescent="0.45">
      <c r="A110" t="s">
        <v>56</v>
      </c>
    </row>
    <row r="111" spans="1:1" x14ac:dyDescent="0.45">
      <c r="A111" t="s">
        <v>57</v>
      </c>
    </row>
    <row r="112" spans="1:1" x14ac:dyDescent="0.45">
      <c r="A112" t="s">
        <v>54</v>
      </c>
    </row>
    <row r="113" spans="1:1" x14ac:dyDescent="0.45">
      <c r="A113" s="1" t="str">
        <f xml:space="preserve"> "pre-shared-key " &amp; Commercial_PSK</f>
        <v>pre-shared-key Key2</v>
      </c>
    </row>
    <row r="114" spans="1:1" x14ac:dyDescent="0.45">
      <c r="A114" t="s">
        <v>55</v>
      </c>
    </row>
    <row r="115" spans="1:1" x14ac:dyDescent="0.45">
      <c r="A115" t="s">
        <v>1</v>
      </c>
    </row>
    <row r="116" spans="1:1" x14ac:dyDescent="0.45">
      <c r="A116" t="s">
        <v>1</v>
      </c>
    </row>
    <row r="117" spans="1:1" x14ac:dyDescent="0.45">
      <c r="A117" t="s">
        <v>58</v>
      </c>
    </row>
    <row r="118" spans="1:1" x14ac:dyDescent="0.45">
      <c r="A118" t="s">
        <v>59</v>
      </c>
    </row>
    <row r="119" spans="1:1" x14ac:dyDescent="0.45">
      <c r="A119" t="s">
        <v>60</v>
      </c>
    </row>
    <row r="120" spans="1:1" x14ac:dyDescent="0.45">
      <c r="A120" t="s">
        <v>61</v>
      </c>
    </row>
    <row r="121" spans="1:1" x14ac:dyDescent="0.45">
      <c r="A121" t="s">
        <v>62</v>
      </c>
    </row>
    <row r="122" spans="1:1" x14ac:dyDescent="0.45">
      <c r="A122" t="s">
        <v>63</v>
      </c>
    </row>
    <row r="123" spans="1:1" x14ac:dyDescent="0.45">
      <c r="A123" t="s">
        <v>64</v>
      </c>
    </row>
    <row r="124" spans="1:1" x14ac:dyDescent="0.45">
      <c r="A124" t="s">
        <v>65</v>
      </c>
    </row>
    <row r="125" spans="1:1" x14ac:dyDescent="0.45">
      <c r="A125" t="s">
        <v>66</v>
      </c>
    </row>
    <row r="126" spans="1:1" x14ac:dyDescent="0.45">
      <c r="A126" t="s">
        <v>1</v>
      </c>
    </row>
    <row r="127" spans="1:1" x14ac:dyDescent="0.45">
      <c r="A127" t="s">
        <v>67</v>
      </c>
    </row>
    <row r="128" spans="1:1" x14ac:dyDescent="0.45">
      <c r="A128" t="s">
        <v>68</v>
      </c>
    </row>
    <row r="129" spans="1:1" x14ac:dyDescent="0.45">
      <c r="A129" t="s">
        <v>60</v>
      </c>
    </row>
    <row r="130" spans="1:1" x14ac:dyDescent="0.45">
      <c r="A130" t="s">
        <v>61</v>
      </c>
    </row>
    <row r="131" spans="1:1" x14ac:dyDescent="0.45">
      <c r="A131" t="s">
        <v>62</v>
      </c>
    </row>
    <row r="132" spans="1:1" x14ac:dyDescent="0.45">
      <c r="A132" t="s">
        <v>69</v>
      </c>
    </row>
    <row r="133" spans="1:1" x14ac:dyDescent="0.45">
      <c r="A133" t="s">
        <v>64</v>
      </c>
    </row>
    <row r="134" spans="1:1" x14ac:dyDescent="0.45">
      <c r="A134" t="s">
        <v>65</v>
      </c>
    </row>
    <row r="135" spans="1:1" x14ac:dyDescent="0.45">
      <c r="A135" t="s">
        <v>70</v>
      </c>
    </row>
    <row r="136" spans="1:1" x14ac:dyDescent="0.45">
      <c r="A136" t="s">
        <v>1</v>
      </c>
    </row>
    <row r="137" spans="1:1" x14ac:dyDescent="0.45">
      <c r="A137" t="s">
        <v>1</v>
      </c>
    </row>
    <row r="138" spans="1:1" x14ac:dyDescent="0.45">
      <c r="A138" t="s">
        <v>1</v>
      </c>
    </row>
    <row r="139" spans="1:1" x14ac:dyDescent="0.45">
      <c r="A139" t="s">
        <v>71</v>
      </c>
    </row>
    <row r="140" spans="1:1" x14ac:dyDescent="0.45">
      <c r="A140" t="s">
        <v>72</v>
      </c>
    </row>
    <row r="141" spans="1:1" x14ac:dyDescent="0.45">
      <c r="A141" t="s">
        <v>1</v>
      </c>
    </row>
    <row r="142" spans="1:1" x14ac:dyDescent="0.45">
      <c r="A142" t="s">
        <v>73</v>
      </c>
    </row>
    <row r="143" spans="1:1" x14ac:dyDescent="0.45">
      <c r="A143" t="s">
        <v>72</v>
      </c>
    </row>
    <row r="144" spans="1:1" x14ac:dyDescent="0.45">
      <c r="A144" t="s">
        <v>1</v>
      </c>
    </row>
    <row r="145" spans="1:1" x14ac:dyDescent="0.45">
      <c r="A145" t="s">
        <v>74</v>
      </c>
    </row>
    <row r="146" spans="1:1" x14ac:dyDescent="0.45">
      <c r="A146" t="s">
        <v>75</v>
      </c>
    </row>
    <row r="147" spans="1:1" x14ac:dyDescent="0.45">
      <c r="A147" t="s">
        <v>76</v>
      </c>
    </row>
    <row r="148" spans="1:1" x14ac:dyDescent="0.45">
      <c r="A148" t="s">
        <v>77</v>
      </c>
    </row>
    <row r="149" spans="1:1" x14ac:dyDescent="0.45">
      <c r="A149" t="s">
        <v>78</v>
      </c>
    </row>
    <row r="150" spans="1:1" x14ac:dyDescent="0.45">
      <c r="A150" t="s">
        <v>79</v>
      </c>
    </row>
    <row r="151" spans="1:1" x14ac:dyDescent="0.45">
      <c r="A151" t="s">
        <v>80</v>
      </c>
    </row>
    <row r="152" spans="1:1" x14ac:dyDescent="0.45">
      <c r="A152" t="s">
        <v>81</v>
      </c>
    </row>
    <row r="153" spans="1:1" x14ac:dyDescent="0.45">
      <c r="A153" t="s">
        <v>1</v>
      </c>
    </row>
    <row r="154" spans="1:1" x14ac:dyDescent="0.45">
      <c r="A154" t="s">
        <v>82</v>
      </c>
    </row>
    <row r="155" spans="1:1" x14ac:dyDescent="0.45">
      <c r="A155" t="s">
        <v>75</v>
      </c>
    </row>
    <row r="156" spans="1:1" x14ac:dyDescent="0.45">
      <c r="A156" t="s">
        <v>76</v>
      </c>
    </row>
    <row r="157" spans="1:1" x14ac:dyDescent="0.45">
      <c r="A157" t="s">
        <v>77</v>
      </c>
    </row>
    <row r="158" spans="1:1" x14ac:dyDescent="0.45">
      <c r="A158" t="s">
        <v>78</v>
      </c>
    </row>
    <row r="159" spans="1:1" x14ac:dyDescent="0.45">
      <c r="A159" t="s">
        <v>83</v>
      </c>
    </row>
    <row r="160" spans="1:1" x14ac:dyDescent="0.45">
      <c r="A160" t="s">
        <v>80</v>
      </c>
    </row>
    <row r="161" spans="1:1" x14ac:dyDescent="0.45">
      <c r="A161" t="s">
        <v>84</v>
      </c>
    </row>
    <row r="162" spans="1:1" x14ac:dyDescent="0.45">
      <c r="A162" t="s">
        <v>1</v>
      </c>
    </row>
    <row r="163" spans="1:1" x14ac:dyDescent="0.45">
      <c r="A163" t="s">
        <v>85</v>
      </c>
    </row>
    <row r="164" spans="1:1" x14ac:dyDescent="0.45">
      <c r="A164" t="s">
        <v>1</v>
      </c>
    </row>
    <row r="165" spans="1:1" x14ac:dyDescent="0.45">
      <c r="A165" t="s">
        <v>1</v>
      </c>
    </row>
    <row r="166" spans="1:1" x14ac:dyDescent="0.45">
      <c r="A166" t="s">
        <v>1</v>
      </c>
    </row>
    <row r="167" spans="1:1" x14ac:dyDescent="0.45">
      <c r="A167" t="s">
        <v>1</v>
      </c>
    </row>
    <row r="168" spans="1:1" x14ac:dyDescent="0.45">
      <c r="A168" t="s">
        <v>1</v>
      </c>
    </row>
    <row r="169" spans="1:1" x14ac:dyDescent="0.45">
      <c r="A169" t="s">
        <v>1</v>
      </c>
    </row>
    <row r="170" spans="1:1" x14ac:dyDescent="0.45">
      <c r="A170" t="s">
        <v>86</v>
      </c>
    </row>
    <row r="171" spans="1:1" x14ac:dyDescent="0.45">
      <c r="A171" s="1" t="e">
        <f>CONCATENATE(" ip address ",UCAN_Loopback, " ", UCAN_Loopback_Mask)</f>
        <v>#REF!</v>
      </c>
    </row>
    <row r="172" spans="1:1" x14ac:dyDescent="0.45">
      <c r="A172" t="s">
        <v>87</v>
      </c>
    </row>
    <row r="173" spans="1:1" x14ac:dyDescent="0.45">
      <c r="A173" t="s">
        <v>88</v>
      </c>
    </row>
    <row r="174" spans="1:1" x14ac:dyDescent="0.45">
      <c r="A174" t="s">
        <v>89</v>
      </c>
    </row>
    <row r="175" spans="1:1" x14ac:dyDescent="0.45">
      <c r="A175" t="s">
        <v>90</v>
      </c>
    </row>
    <row r="176" spans="1:1" x14ac:dyDescent="0.45">
      <c r="A176" t="s">
        <v>1</v>
      </c>
    </row>
    <row r="177" spans="1:1" x14ac:dyDescent="0.45">
      <c r="A177" t="s">
        <v>91</v>
      </c>
    </row>
    <row r="178" spans="1:1" x14ac:dyDescent="0.45">
      <c r="A178" t="s">
        <v>92</v>
      </c>
    </row>
    <row r="179" spans="1:1" x14ac:dyDescent="0.45">
      <c r="A179" t="s">
        <v>93</v>
      </c>
    </row>
    <row r="180" spans="1:1" x14ac:dyDescent="0.45">
      <c r="A180" t="s">
        <v>94</v>
      </c>
    </row>
    <row r="181" spans="1:1" x14ac:dyDescent="0.45">
      <c r="A181" t="s">
        <v>95</v>
      </c>
    </row>
    <row r="182" spans="1:1" x14ac:dyDescent="0.45">
      <c r="A182" s="1" t="str">
        <f xml:space="preserve"> "ip nhrp network-id " &amp; WGS_NHRP_ID</f>
        <v>ip nhrp network-id 10</v>
      </c>
    </row>
    <row r="183" spans="1:1" x14ac:dyDescent="0.45">
      <c r="A183" t="s">
        <v>96</v>
      </c>
    </row>
    <row r="184" spans="1:1" x14ac:dyDescent="0.45">
      <c r="A184" t="s">
        <v>97</v>
      </c>
    </row>
    <row r="185" spans="1:1" x14ac:dyDescent="0.45">
      <c r="A185" t="s">
        <v>98</v>
      </c>
    </row>
    <row r="186" spans="1:1" x14ac:dyDescent="0.45">
      <c r="A186" t="s">
        <v>99</v>
      </c>
    </row>
    <row r="187" spans="1:1" x14ac:dyDescent="0.45">
      <c r="A187" t="s">
        <v>100</v>
      </c>
    </row>
    <row r="188" spans="1:1" x14ac:dyDescent="0.45">
      <c r="A188" t="s">
        <v>184</v>
      </c>
    </row>
    <row r="189" spans="1:1" x14ac:dyDescent="0.45">
      <c r="A189" s="1" t="str">
        <f>"tunnel destination " &amp; WGS_Tunnel_Destination</f>
        <v>tunnel destination 172.16.1.253</v>
      </c>
    </row>
    <row r="190" spans="1:1" x14ac:dyDescent="0.45">
      <c r="A190" s="1" t="str">
        <f xml:space="preserve"> "tunnel key " &amp; WGS_Tunnel_Key</f>
        <v>tunnel key 10</v>
      </c>
    </row>
    <row r="191" spans="1:1" x14ac:dyDescent="0.45">
      <c r="A191" t="s">
        <v>101</v>
      </c>
    </row>
    <row r="192" spans="1:1" x14ac:dyDescent="0.45">
      <c r="A192" t="s">
        <v>102</v>
      </c>
    </row>
    <row r="193" spans="1:1" x14ac:dyDescent="0.45">
      <c r="A193" t="s">
        <v>103</v>
      </c>
    </row>
    <row r="194" spans="1:1" x14ac:dyDescent="0.45">
      <c r="A194" t="s">
        <v>1</v>
      </c>
    </row>
    <row r="195" spans="1:1" x14ac:dyDescent="0.45">
      <c r="A195" t="s">
        <v>104</v>
      </c>
    </row>
    <row r="196" spans="1:1" x14ac:dyDescent="0.45">
      <c r="A196" t="s">
        <v>105</v>
      </c>
    </row>
    <row r="197" spans="1:1" x14ac:dyDescent="0.45">
      <c r="A197" t="s">
        <v>93</v>
      </c>
    </row>
    <row r="198" spans="1:1" x14ac:dyDescent="0.45">
      <c r="A198" t="s">
        <v>94</v>
      </c>
    </row>
    <row r="199" spans="1:1" x14ac:dyDescent="0.45">
      <c r="A199" t="s">
        <v>95</v>
      </c>
    </row>
    <row r="200" spans="1:1" x14ac:dyDescent="0.45">
      <c r="A200" s="1" t="str">
        <f xml:space="preserve"> "ip nhrp network-id " &amp; Commercial_NHRP_Net_ID</f>
        <v>ip nhrp network-id 20</v>
      </c>
    </row>
    <row r="201" spans="1:1" x14ac:dyDescent="0.45">
      <c r="A201" t="s">
        <v>106</v>
      </c>
    </row>
    <row r="202" spans="1:1" x14ac:dyDescent="0.45">
      <c r="A202" t="s">
        <v>97</v>
      </c>
    </row>
    <row r="203" spans="1:1" x14ac:dyDescent="0.45">
      <c r="A203" t="s">
        <v>98</v>
      </c>
    </row>
    <row r="204" spans="1:1" x14ac:dyDescent="0.45">
      <c r="A204" t="s">
        <v>107</v>
      </c>
    </row>
    <row r="205" spans="1:1" x14ac:dyDescent="0.45">
      <c r="A205" t="s">
        <v>100</v>
      </c>
    </row>
    <row r="206" spans="1:1" x14ac:dyDescent="0.45">
      <c r="A206" t="s">
        <v>108</v>
      </c>
    </row>
    <row r="207" spans="1:1" x14ac:dyDescent="0.45">
      <c r="A207" s="1" t="str">
        <f xml:space="preserve"> "tunnel destination " &amp; Commercial_Tunnel_Destination</f>
        <v>tunnel destination 10.100.200.253</v>
      </c>
    </row>
    <row r="208" spans="1:1" x14ac:dyDescent="0.45">
      <c r="A208" s="1" t="str">
        <f xml:space="preserve"> "tunnel key " &amp; Commercial_Tunnel_Key</f>
        <v>tunnel key 20</v>
      </c>
    </row>
    <row r="209" spans="1:1" x14ac:dyDescent="0.45">
      <c r="A209" t="s">
        <v>101</v>
      </c>
    </row>
    <row r="210" spans="1:1" x14ac:dyDescent="0.45">
      <c r="A210" t="s">
        <v>109</v>
      </c>
    </row>
    <row r="211" spans="1:1" x14ac:dyDescent="0.45">
      <c r="A211" t="s">
        <v>110</v>
      </c>
    </row>
    <row r="212" spans="1:1" x14ac:dyDescent="0.45">
      <c r="A212" t="s">
        <v>1</v>
      </c>
    </row>
    <row r="213" spans="1:1" x14ac:dyDescent="0.45">
      <c r="A213" t="s">
        <v>111</v>
      </c>
    </row>
    <row r="214" spans="1:1" x14ac:dyDescent="0.45">
      <c r="A214" t="s">
        <v>112</v>
      </c>
    </row>
    <row r="215" spans="1:1" x14ac:dyDescent="0.45">
      <c r="A215" t="s">
        <v>113</v>
      </c>
    </row>
    <row r="216" spans="1:1" x14ac:dyDescent="0.45">
      <c r="A216" t="s">
        <v>114</v>
      </c>
    </row>
    <row r="217" spans="1:1" x14ac:dyDescent="0.45">
      <c r="A217" t="s">
        <v>115</v>
      </c>
    </row>
    <row r="218" spans="1:1" x14ac:dyDescent="0.45">
      <c r="A218" t="s">
        <v>116</v>
      </c>
    </row>
    <row r="219" spans="1:1" x14ac:dyDescent="0.45">
      <c r="A219" t="s">
        <v>1</v>
      </c>
    </row>
    <row r="220" spans="1:1" x14ac:dyDescent="0.45">
      <c r="A220" t="s">
        <v>117</v>
      </c>
    </row>
    <row r="221" spans="1:1" x14ac:dyDescent="0.45">
      <c r="A221" t="s">
        <v>118</v>
      </c>
    </row>
    <row r="222" spans="1:1" x14ac:dyDescent="0.45">
      <c r="A222" t="s">
        <v>113</v>
      </c>
    </row>
    <row r="223" spans="1:1" x14ac:dyDescent="0.45">
      <c r="A223" t="s">
        <v>115</v>
      </c>
    </row>
    <row r="224" spans="1:1" x14ac:dyDescent="0.45">
      <c r="A224" t="s">
        <v>116</v>
      </c>
    </row>
    <row r="225" spans="1:1" x14ac:dyDescent="0.45">
      <c r="A225" t="s">
        <v>1</v>
      </c>
    </row>
    <row r="226" spans="1:1" x14ac:dyDescent="0.45">
      <c r="A226" t="s">
        <v>185</v>
      </c>
    </row>
    <row r="227" spans="1:1" x14ac:dyDescent="0.45">
      <c r="A227" t="s">
        <v>119</v>
      </c>
    </row>
    <row r="228" spans="1:1" x14ac:dyDescent="0.45">
      <c r="A228" t="s">
        <v>186</v>
      </c>
    </row>
    <row r="229" spans="1:1" x14ac:dyDescent="0.45">
      <c r="A229" t="s">
        <v>120</v>
      </c>
    </row>
    <row r="230" spans="1:1" x14ac:dyDescent="0.45">
      <c r="A230" s="1" t="e">
        <f>CONCATENATE(" ip address ",UCAN_WGS_IP, " ", UCAN_WGS_Mask)</f>
        <v>#REF!</v>
      </c>
    </row>
    <row r="231" spans="1:1" x14ac:dyDescent="0.45">
      <c r="A231" t="s">
        <v>121</v>
      </c>
    </row>
    <row r="232" spans="1:1" x14ac:dyDescent="0.45">
      <c r="A232" t="s">
        <v>87</v>
      </c>
    </row>
    <row r="233" spans="1:1" x14ac:dyDescent="0.45">
      <c r="A233" t="s">
        <v>88</v>
      </c>
    </row>
    <row r="234" spans="1:1" x14ac:dyDescent="0.45">
      <c r="A234" t="s">
        <v>89</v>
      </c>
    </row>
    <row r="235" spans="1:1" x14ac:dyDescent="0.45">
      <c r="A235" t="s">
        <v>1</v>
      </c>
    </row>
    <row r="236" spans="1:1" x14ac:dyDescent="0.45">
      <c r="A236" t="s">
        <v>187</v>
      </c>
    </row>
    <row r="237" spans="1:1" x14ac:dyDescent="0.45">
      <c r="A237" t="s">
        <v>122</v>
      </c>
    </row>
    <row r="238" spans="1:1" x14ac:dyDescent="0.45">
      <c r="A238" t="s">
        <v>188</v>
      </c>
    </row>
    <row r="239" spans="1:1" x14ac:dyDescent="0.45">
      <c r="A239" s="1" t="s">
        <v>189</v>
      </c>
    </row>
    <row r="240" spans="1:1" x14ac:dyDescent="0.45">
      <c r="A240" t="s">
        <v>87</v>
      </c>
    </row>
    <row r="241" spans="1:1" x14ac:dyDescent="0.45">
      <c r="A241" t="s">
        <v>88</v>
      </c>
    </row>
    <row r="242" spans="1:1" x14ac:dyDescent="0.45">
      <c r="A242" t="s">
        <v>89</v>
      </c>
    </row>
    <row r="243" spans="1:1" x14ac:dyDescent="0.45">
      <c r="A243" t="s">
        <v>1</v>
      </c>
    </row>
    <row r="244" spans="1:1" x14ac:dyDescent="0.45">
      <c r="A244" t="s">
        <v>123</v>
      </c>
    </row>
    <row r="245" spans="1:1" x14ac:dyDescent="0.45">
      <c r="A245" t="s">
        <v>124</v>
      </c>
    </row>
    <row r="246" spans="1:1" x14ac:dyDescent="0.45">
      <c r="A246" t="s">
        <v>125</v>
      </c>
    </row>
    <row r="247" spans="1:1" x14ac:dyDescent="0.45">
      <c r="A247" s="1" t="e">
        <f>CONCATENATE(" ip address ",UCAN_COMM_IP, " ", UCAN_COMM_Mask)</f>
        <v>#REF!</v>
      </c>
    </row>
    <row r="248" spans="1:1" x14ac:dyDescent="0.45">
      <c r="A248" t="s">
        <v>87</v>
      </c>
    </row>
    <row r="249" spans="1:1" x14ac:dyDescent="0.45">
      <c r="A249" t="s">
        <v>88</v>
      </c>
    </row>
    <row r="250" spans="1:1" x14ac:dyDescent="0.45">
      <c r="A250" t="s">
        <v>89</v>
      </c>
    </row>
    <row r="251" spans="1:1" x14ac:dyDescent="0.45">
      <c r="A251" t="s">
        <v>115</v>
      </c>
    </row>
    <row r="252" spans="1:1" x14ac:dyDescent="0.45">
      <c r="A252" t="s">
        <v>116</v>
      </c>
    </row>
    <row r="253" spans="1:1" x14ac:dyDescent="0.45">
      <c r="A253" t="s">
        <v>1</v>
      </c>
    </row>
    <row r="254" spans="1:1" x14ac:dyDescent="0.45">
      <c r="A254" t="s">
        <v>126</v>
      </c>
    </row>
    <row r="255" spans="1:1" x14ac:dyDescent="0.45">
      <c r="A255" t="s">
        <v>113</v>
      </c>
    </row>
    <row r="256" spans="1:1" x14ac:dyDescent="0.45">
      <c r="A256" t="s">
        <v>115</v>
      </c>
    </row>
    <row r="257" spans="1:1" x14ac:dyDescent="0.45">
      <c r="A257" t="s">
        <v>116</v>
      </c>
    </row>
    <row r="258" spans="1:1" x14ac:dyDescent="0.45">
      <c r="A258" t="s">
        <v>127</v>
      </c>
    </row>
    <row r="259" spans="1:1" x14ac:dyDescent="0.45">
      <c r="A259" t="s">
        <v>1</v>
      </c>
    </row>
    <row r="260" spans="1:1" x14ac:dyDescent="0.45">
      <c r="A260" t="s">
        <v>128</v>
      </c>
    </row>
    <row r="261" spans="1:1" x14ac:dyDescent="0.45">
      <c r="A261" t="s">
        <v>113</v>
      </c>
    </row>
    <row r="262" spans="1:1" x14ac:dyDescent="0.45">
      <c r="A262" s="1" t="str">
        <f>"ip unnumbered Tunnel" &amp; WGS_Tunnel_Number</f>
        <v>ip unnumbered Tunnel10</v>
      </c>
    </row>
    <row r="263" spans="1:1" x14ac:dyDescent="0.45">
      <c r="A263" t="s">
        <v>95</v>
      </c>
    </row>
    <row r="264" spans="1:1" x14ac:dyDescent="0.45">
      <c r="A264" s="1" t="str">
        <f xml:space="preserve"> "ip nhrp network-id " &amp; WGS_NHRP_ID</f>
        <v>ip nhrp network-id 10</v>
      </c>
    </row>
    <row r="265" spans="1:1" x14ac:dyDescent="0.45">
      <c r="A265" t="s">
        <v>96</v>
      </c>
    </row>
    <row r="266" spans="1:1" x14ac:dyDescent="0.45">
      <c r="A266" t="s">
        <v>97</v>
      </c>
    </row>
    <row r="267" spans="1:1" x14ac:dyDescent="0.45">
      <c r="A267" t="s">
        <v>98</v>
      </c>
    </row>
    <row r="268" spans="1:1" x14ac:dyDescent="0.45">
      <c r="A268" t="s">
        <v>99</v>
      </c>
    </row>
    <row r="269" spans="1:1" x14ac:dyDescent="0.45">
      <c r="A269" t="s">
        <v>100</v>
      </c>
    </row>
    <row r="270" spans="1:1" x14ac:dyDescent="0.45">
      <c r="A270" s="1" t="str">
        <f xml:space="preserve"> "tunnel key " &amp; WGS_Tunnel_Key</f>
        <v>tunnel key 10</v>
      </c>
    </row>
    <row r="271" spans="1:1" x14ac:dyDescent="0.45">
      <c r="A271" t="s">
        <v>102</v>
      </c>
    </row>
    <row r="272" spans="1:1" x14ac:dyDescent="0.45">
      <c r="A272" t="s">
        <v>103</v>
      </c>
    </row>
    <row r="273" spans="1:1" x14ac:dyDescent="0.45">
      <c r="A273" t="s">
        <v>1</v>
      </c>
    </row>
    <row r="274" spans="1:1" x14ac:dyDescent="0.45">
      <c r="A274" t="s">
        <v>129</v>
      </c>
    </row>
    <row r="275" spans="1:1" x14ac:dyDescent="0.45">
      <c r="A275" s="13" t="str">
        <f>"ip unnumbered Tunnel" &amp; Commercial_Tunnel_Number</f>
        <v>ip unnumbered Tunnel20</v>
      </c>
    </row>
    <row r="276" spans="1:1" x14ac:dyDescent="0.45">
      <c r="A276" t="s">
        <v>95</v>
      </c>
    </row>
    <row r="277" spans="1:1" x14ac:dyDescent="0.45">
      <c r="A277" s="1" t="str">
        <f xml:space="preserve"> "ip nhrp network-id " &amp; Commercial_NHRP_Net_ID</f>
        <v>ip nhrp network-id 20</v>
      </c>
    </row>
    <row r="278" spans="1:1" x14ac:dyDescent="0.45">
      <c r="A278" t="s">
        <v>106</v>
      </c>
    </row>
    <row r="279" spans="1:1" x14ac:dyDescent="0.45">
      <c r="A279" t="s">
        <v>97</v>
      </c>
    </row>
    <row r="280" spans="1:1" x14ac:dyDescent="0.45">
      <c r="A280" t="s">
        <v>98</v>
      </c>
    </row>
    <row r="281" spans="1:1" x14ac:dyDescent="0.45">
      <c r="A281" t="s">
        <v>107</v>
      </c>
    </row>
    <row r="282" spans="1:1" x14ac:dyDescent="0.45">
      <c r="A282" t="s">
        <v>100</v>
      </c>
    </row>
    <row r="283" spans="1:1" x14ac:dyDescent="0.45">
      <c r="A283" s="1" t="str">
        <f xml:space="preserve"> "tunnel key " &amp; Commercial_Tunnel_Key</f>
        <v>tunnel key 20</v>
      </c>
    </row>
    <row r="284" spans="1:1" x14ac:dyDescent="0.45">
      <c r="A284" t="s">
        <v>109</v>
      </c>
    </row>
    <row r="285" spans="1:1" x14ac:dyDescent="0.45">
      <c r="A285" t="s">
        <v>110</v>
      </c>
    </row>
    <row r="286" spans="1:1" x14ac:dyDescent="0.45">
      <c r="A286" t="s">
        <v>1</v>
      </c>
    </row>
    <row r="287" spans="1:1" x14ac:dyDescent="0.45">
      <c r="A287" t="s">
        <v>130</v>
      </c>
    </row>
    <row r="288" spans="1:1" x14ac:dyDescent="0.45">
      <c r="A288" t="s">
        <v>131</v>
      </c>
    </row>
    <row r="289" spans="1:1" x14ac:dyDescent="0.45">
      <c r="A289" s="1" t="str">
        <f>"no passive-interface Tunnel" &amp; WGS_Tunnel_Number</f>
        <v>no passive-interface Tunnel10</v>
      </c>
    </row>
    <row r="290" spans="1:1" x14ac:dyDescent="0.45">
      <c r="A290" s="1" t="str">
        <f>"no passive-interface Tunnel" &amp; Commercial_Tunnel_Number</f>
        <v>no passive-interface Tunnel20</v>
      </c>
    </row>
    <row r="291" spans="1:1" x14ac:dyDescent="0.45">
      <c r="A291" s="1" t="str">
        <f>CONCATENATE(" network ",WGS_Tunnel_Subnet," ",InverseNetmask(WGS_Tunnel_Subnet_Mask)," area 0")</f>
        <v xml:space="preserve"> network 10.2.0.0 0.0.255.255 area 0</v>
      </c>
    </row>
    <row r="292" spans="1:1" x14ac:dyDescent="0.45">
      <c r="A292" s="1" t="str">
        <f>CONCATENATE(" network ",Comm_Tunnel_Subnet," ",InverseNetmask(Comm_Tunnel_Subnet_Mask)," area 0")</f>
        <v xml:space="preserve"> network 10.3.0.0 0.0.255.255 area 0</v>
      </c>
    </row>
    <row r="293" spans="1:1" x14ac:dyDescent="0.45">
      <c r="A293" s="1" t="e">
        <f>CONCATENATE(" network ",UCAN_Loopback," ",InverseNetmask(UCAN_Loopback_Mask)," area 0")</f>
        <v>#REF!</v>
      </c>
    </row>
    <row r="294" spans="1:1" x14ac:dyDescent="0.45">
      <c r="A294" t="s">
        <v>1</v>
      </c>
    </row>
    <row r="295" spans="1:1" x14ac:dyDescent="0.45">
      <c r="A295" t="s">
        <v>132</v>
      </c>
    </row>
    <row r="296" spans="1:1" x14ac:dyDescent="0.45">
      <c r="A296" t="s">
        <v>133</v>
      </c>
    </row>
    <row r="297" spans="1:1" x14ac:dyDescent="0.45">
      <c r="A297" t="s">
        <v>1</v>
      </c>
    </row>
    <row r="298" spans="1:1" x14ac:dyDescent="0.45">
      <c r="A298" t="s">
        <v>1</v>
      </c>
    </row>
    <row r="299" spans="1:1" x14ac:dyDescent="0.45">
      <c r="A299" t="s">
        <v>134</v>
      </c>
    </row>
    <row r="300" spans="1:1" x14ac:dyDescent="0.45">
      <c r="A300" t="s">
        <v>135</v>
      </c>
    </row>
    <row r="301" spans="1:1" x14ac:dyDescent="0.45">
      <c r="A301" s="1" t="e">
        <f xml:space="preserve"> "ip route vrf COMM 0.0.0.0 0.0.0.0 " &amp; UCAN_ASA_Trusted_IP &amp; " 100"</f>
        <v>#REF!</v>
      </c>
    </row>
    <row r="302" spans="1:1" x14ac:dyDescent="0.45">
      <c r="A302" s="1" t="e">
        <f xml:space="preserve"> "ip route vrf WGS 0.0.0.0 0.0.0.0 " &amp; UCAN_WGS_Modem &amp; " 100"</f>
        <v>#REF!</v>
      </c>
    </row>
    <row r="303" spans="1:1" x14ac:dyDescent="0.45">
      <c r="A303" t="s">
        <v>1</v>
      </c>
    </row>
    <row r="304" spans="1:1" x14ac:dyDescent="0.45">
      <c r="A304" t="s">
        <v>136</v>
      </c>
    </row>
    <row r="305" spans="1:1" x14ac:dyDescent="0.45">
      <c r="A305" s="1" t="e">
        <f>CONCATENATE("permit ",UCAN_MGMT_Network, " ",InverseNetmask( UCAN_MGMT_Mask))</f>
        <v>#REF!</v>
      </c>
    </row>
    <row r="306" spans="1:1" x14ac:dyDescent="0.45">
      <c r="A306" t="s">
        <v>137</v>
      </c>
    </row>
    <row r="307" spans="1:1" x14ac:dyDescent="0.45">
      <c r="A307" s="1" t="e">
        <f>CONCATENATE("permit ",UCAN_MGMT_Network, " ",InverseNetmask( UCAN_MGMT_Mask))</f>
        <v>#REF!</v>
      </c>
    </row>
    <row r="308" spans="1:1" x14ac:dyDescent="0.45">
      <c r="A308" t="s">
        <v>138</v>
      </c>
    </row>
    <row r="309" spans="1:1" x14ac:dyDescent="0.45">
      <c r="A309" t="s">
        <v>1</v>
      </c>
    </row>
    <row r="310" spans="1:1" x14ac:dyDescent="0.45">
      <c r="A310" t="s">
        <v>139</v>
      </c>
    </row>
    <row r="311" spans="1:1" x14ac:dyDescent="0.45">
      <c r="A311" t="s">
        <v>140</v>
      </c>
    </row>
    <row r="312" spans="1:1" x14ac:dyDescent="0.45">
      <c r="A312" t="s">
        <v>141</v>
      </c>
    </row>
    <row r="313" spans="1:1" x14ac:dyDescent="0.45">
      <c r="A313" t="s">
        <v>142</v>
      </c>
    </row>
    <row r="314" spans="1:1" x14ac:dyDescent="0.45">
      <c r="A314" t="s">
        <v>143</v>
      </c>
    </row>
    <row r="315" spans="1:1" x14ac:dyDescent="0.45">
      <c r="A315" t="s">
        <v>1</v>
      </c>
    </row>
    <row r="316" spans="1:1" x14ac:dyDescent="0.45">
      <c r="A316" t="s">
        <v>144</v>
      </c>
    </row>
    <row r="317" spans="1:1" x14ac:dyDescent="0.45">
      <c r="A317" t="s">
        <v>1</v>
      </c>
    </row>
    <row r="318" spans="1:1" x14ac:dyDescent="0.45">
      <c r="A318" t="s">
        <v>1</v>
      </c>
    </row>
    <row r="319" spans="1:1" x14ac:dyDescent="0.45">
      <c r="A319" t="s">
        <v>1</v>
      </c>
    </row>
    <row r="320" spans="1:1" x14ac:dyDescent="0.45">
      <c r="A320" t="s">
        <v>1</v>
      </c>
    </row>
    <row r="321" spans="1:1" x14ac:dyDescent="0.45">
      <c r="A321" t="s">
        <v>1</v>
      </c>
    </row>
    <row r="322" spans="1:1" x14ac:dyDescent="0.45">
      <c r="A322" t="s">
        <v>145</v>
      </c>
    </row>
    <row r="323" spans="1:1" x14ac:dyDescent="0.45">
      <c r="A323" t="s">
        <v>1</v>
      </c>
    </row>
    <row r="324" spans="1:1" x14ac:dyDescent="0.45">
      <c r="A324" t="s">
        <v>55</v>
      </c>
    </row>
    <row r="325" spans="1:1" x14ac:dyDescent="0.45">
      <c r="A325" t="s">
        <v>55</v>
      </c>
    </row>
    <row r="326" spans="1:1" x14ac:dyDescent="0.45">
      <c r="A326" t="s">
        <v>55</v>
      </c>
    </row>
    <row r="327" spans="1:1" x14ac:dyDescent="0.45">
      <c r="A327" t="s">
        <v>55</v>
      </c>
    </row>
    <row r="328" spans="1:1" x14ac:dyDescent="0.45">
      <c r="A328" t="s">
        <v>1</v>
      </c>
    </row>
    <row r="329" spans="1:1" x14ac:dyDescent="0.45">
      <c r="A329" t="s">
        <v>1</v>
      </c>
    </row>
    <row r="330" spans="1:1" x14ac:dyDescent="0.45">
      <c r="A330" t="s">
        <v>1</v>
      </c>
    </row>
    <row r="331" spans="1:1" x14ac:dyDescent="0.45">
      <c r="A331" t="s">
        <v>1</v>
      </c>
    </row>
    <row r="332" spans="1:1" x14ac:dyDescent="0.45">
      <c r="A332" t="s">
        <v>1</v>
      </c>
    </row>
    <row r="333" spans="1:1" x14ac:dyDescent="0.45">
      <c r="A333" t="s">
        <v>1</v>
      </c>
    </row>
    <row r="334" spans="1:1" x14ac:dyDescent="0.45">
      <c r="A334" t="s">
        <v>1</v>
      </c>
    </row>
    <row r="335" spans="1:1" x14ac:dyDescent="0.45">
      <c r="A335" t="s">
        <v>146</v>
      </c>
    </row>
    <row r="336" spans="1:1" x14ac:dyDescent="0.45">
      <c r="A336" t="s">
        <v>147</v>
      </c>
    </row>
    <row r="337" spans="1:1" x14ac:dyDescent="0.45">
      <c r="A337" t="s">
        <v>148</v>
      </c>
    </row>
    <row r="338" spans="1:1" x14ac:dyDescent="0.45">
      <c r="A338" t="s">
        <v>149</v>
      </c>
    </row>
    <row r="339" spans="1:1" x14ac:dyDescent="0.45">
      <c r="A339" t="s">
        <v>150</v>
      </c>
    </row>
    <row r="340" spans="1:1" x14ac:dyDescent="0.45">
      <c r="A340" t="s">
        <v>147</v>
      </c>
    </row>
    <row r="341" spans="1:1" x14ac:dyDescent="0.45">
      <c r="A341" t="s">
        <v>151</v>
      </c>
    </row>
    <row r="342" spans="1:1" x14ac:dyDescent="0.45">
      <c r="A342" t="s">
        <v>152</v>
      </c>
    </row>
    <row r="343" spans="1:1" x14ac:dyDescent="0.45">
      <c r="A343" t="s">
        <v>153</v>
      </c>
    </row>
    <row r="344" spans="1:1" x14ac:dyDescent="0.45">
      <c r="A344" t="s">
        <v>150</v>
      </c>
    </row>
    <row r="345" spans="1:1" x14ac:dyDescent="0.45">
      <c r="A345" t="s">
        <v>147</v>
      </c>
    </row>
    <row r="346" spans="1:1" x14ac:dyDescent="0.45">
      <c r="A346" t="s">
        <v>151</v>
      </c>
    </row>
    <row r="347" spans="1:1" x14ac:dyDescent="0.45">
      <c r="A347" t="s">
        <v>152</v>
      </c>
    </row>
    <row r="348" spans="1:1" x14ac:dyDescent="0.45">
      <c r="A348" t="s">
        <v>1</v>
      </c>
    </row>
    <row r="349" spans="1:1" x14ac:dyDescent="0.45">
      <c r="A349" s="1" t="str">
        <f xml:space="preserve"> "ntp server " &amp; NTP_Server</f>
        <v>ntp server 1.1.1.1</v>
      </c>
    </row>
    <row r="350" spans="1:1" x14ac:dyDescent="0.45">
      <c r="A350" t="s">
        <v>1</v>
      </c>
    </row>
    <row r="351" spans="1:1" x14ac:dyDescent="0.45">
      <c r="A351" t="s">
        <v>154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7F3F5-74B5-4DE9-AA42-301F76848508}">
  <sheetPr codeName="Sheet6">
    <tabColor rgb="FFFF0000"/>
  </sheetPr>
  <dimension ref="A1:A233"/>
  <sheetViews>
    <sheetView topLeftCell="A154" workbookViewId="0">
      <selection activeCell="A73" sqref="A73"/>
    </sheetView>
  </sheetViews>
  <sheetFormatPr defaultColWidth="8.796875" defaultRowHeight="14.25" x14ac:dyDescent="0.45"/>
  <cols>
    <col min="1" max="1" width="108.46484375" customWidth="1"/>
  </cols>
  <sheetData>
    <row r="1" spans="1:1" x14ac:dyDescent="0.45">
      <c r="A1" t="s">
        <v>208</v>
      </c>
    </row>
    <row r="2" spans="1:1" x14ac:dyDescent="0.45">
      <c r="A2" t="s">
        <v>209</v>
      </c>
    </row>
    <row r="3" spans="1:1" x14ac:dyDescent="0.45">
      <c r="A3" t="s">
        <v>3</v>
      </c>
    </row>
    <row r="4" spans="1:1" x14ac:dyDescent="0.45">
      <c r="A4" t="s">
        <v>4</v>
      </c>
    </row>
    <row r="5" spans="1:1" x14ac:dyDescent="0.45">
      <c r="A5" t="s">
        <v>5</v>
      </c>
    </row>
    <row r="6" spans="1:1" x14ac:dyDescent="0.45">
      <c r="A6" t="s">
        <v>210</v>
      </c>
    </row>
    <row r="7" spans="1:1" x14ac:dyDescent="0.45">
      <c r="A7" t="s">
        <v>211</v>
      </c>
    </row>
    <row r="8" spans="1:1" x14ac:dyDescent="0.45">
      <c r="A8" t="s">
        <v>212</v>
      </c>
    </row>
    <row r="9" spans="1:1" x14ac:dyDescent="0.45">
      <c r="A9" t="s">
        <v>1</v>
      </c>
    </row>
    <row r="10" spans="1:1" x14ac:dyDescent="0.45">
      <c r="A10" s="1" t="str">
        <f xml:space="preserve"> "hostname UCAN-" &amp; Hostname &amp; "-TR"</f>
        <v>hostname UCAN-100-TR</v>
      </c>
    </row>
    <row r="11" spans="1:1" x14ac:dyDescent="0.45">
      <c r="A11" t="s">
        <v>1</v>
      </c>
    </row>
    <row r="12" spans="1:1" x14ac:dyDescent="0.45">
      <c r="A12" t="s">
        <v>1</v>
      </c>
    </row>
    <row r="13" spans="1:1" x14ac:dyDescent="0.45">
      <c r="A13" t="s">
        <v>8</v>
      </c>
    </row>
    <row r="14" spans="1:1" x14ac:dyDescent="0.45">
      <c r="A14" t="s">
        <v>1</v>
      </c>
    </row>
    <row r="15" spans="1:1" x14ac:dyDescent="0.45">
      <c r="A15" t="s">
        <v>1</v>
      </c>
    </row>
    <row r="16" spans="1:1" x14ac:dyDescent="0.45">
      <c r="A16" t="s">
        <v>9</v>
      </c>
    </row>
    <row r="17" spans="1:1" x14ac:dyDescent="0.45">
      <c r="A17" t="s">
        <v>10</v>
      </c>
    </row>
    <row r="18" spans="1:1" x14ac:dyDescent="0.45">
      <c r="A18" t="s">
        <v>11</v>
      </c>
    </row>
    <row r="19" spans="1:1" x14ac:dyDescent="0.45">
      <c r="A19" t="s">
        <v>1</v>
      </c>
    </row>
    <row r="20" spans="1:1" x14ac:dyDescent="0.45">
      <c r="A20" t="s">
        <v>1</v>
      </c>
    </row>
    <row r="21" spans="1:1" x14ac:dyDescent="0.45">
      <c r="A21" t="s">
        <v>1</v>
      </c>
    </row>
    <row r="22" spans="1:1" x14ac:dyDescent="0.45">
      <c r="A22" s="1" t="str">
        <f>"enable secret " &amp; Enable_Secret</f>
        <v>enable secret cisco</v>
      </c>
    </row>
    <row r="23" spans="1:1" x14ac:dyDescent="0.45">
      <c r="A23" t="s">
        <v>1</v>
      </c>
    </row>
    <row r="24" spans="1:1" x14ac:dyDescent="0.45">
      <c r="A24" t="s">
        <v>1</v>
      </c>
    </row>
    <row r="25" spans="1:1" x14ac:dyDescent="0.45">
      <c r="A25" t="s">
        <v>13</v>
      </c>
    </row>
    <row r="26" spans="1:1" x14ac:dyDescent="0.45">
      <c r="A26" t="s">
        <v>213</v>
      </c>
    </row>
    <row r="27" spans="1:1" x14ac:dyDescent="0.45">
      <c r="A27" s="1" t="str">
        <f>"vtp domain " &amp; VTP_Domain</f>
        <v>vtp domain NZDF</v>
      </c>
    </row>
    <row r="28" spans="1:1" x14ac:dyDescent="0.45">
      <c r="A28" t="s">
        <v>214</v>
      </c>
    </row>
    <row r="29" spans="1:1" x14ac:dyDescent="0.45">
      <c r="A29" t="s">
        <v>1</v>
      </c>
    </row>
    <row r="30" spans="1:1" x14ac:dyDescent="0.45">
      <c r="A30" t="s">
        <v>1</v>
      </c>
    </row>
    <row r="31" spans="1:1" x14ac:dyDescent="0.45">
      <c r="A31" t="s">
        <v>1</v>
      </c>
    </row>
    <row r="32" spans="1:1" x14ac:dyDescent="0.45">
      <c r="A32" t="s">
        <v>1</v>
      </c>
    </row>
    <row r="33" spans="1:1" x14ac:dyDescent="0.45">
      <c r="A33" t="s">
        <v>1</v>
      </c>
    </row>
    <row r="34" spans="1:1" x14ac:dyDescent="0.45">
      <c r="A34" t="s">
        <v>215</v>
      </c>
    </row>
    <row r="35" spans="1:1" x14ac:dyDescent="0.45">
      <c r="A35" s="1" t="str">
        <f>"ip domain name " &amp; Domain_Name</f>
        <v>ip domain name TNET.local</v>
      </c>
    </row>
    <row r="36" spans="1:1" x14ac:dyDescent="0.45">
      <c r="A36" t="s">
        <v>1</v>
      </c>
    </row>
    <row r="37" spans="1:1" x14ac:dyDescent="0.45">
      <c r="A37" t="s">
        <v>1</v>
      </c>
    </row>
    <row r="38" spans="1:1" x14ac:dyDescent="0.45">
      <c r="A38" t="s">
        <v>1</v>
      </c>
    </row>
    <row r="39" spans="1:1" x14ac:dyDescent="0.45">
      <c r="A39" t="s">
        <v>216</v>
      </c>
    </row>
    <row r="40" spans="1:1" x14ac:dyDescent="0.45">
      <c r="A40" t="s">
        <v>217</v>
      </c>
    </row>
    <row r="41" spans="1:1" x14ac:dyDescent="0.45">
      <c r="A41" t="s">
        <v>1</v>
      </c>
    </row>
    <row r="42" spans="1:1" x14ac:dyDescent="0.45">
      <c r="A42" t="s">
        <v>218</v>
      </c>
    </row>
    <row r="43" spans="1:1" x14ac:dyDescent="0.45">
      <c r="A43" t="s">
        <v>219</v>
      </c>
    </row>
    <row r="44" spans="1:1" x14ac:dyDescent="0.45">
      <c r="A44" t="s">
        <v>220</v>
      </c>
    </row>
    <row r="45" spans="1:1" x14ac:dyDescent="0.45">
      <c r="A45" t="s">
        <v>221</v>
      </c>
    </row>
    <row r="46" spans="1:1" x14ac:dyDescent="0.45">
      <c r="A46" t="s">
        <v>222</v>
      </c>
    </row>
    <row r="47" spans="1:1" x14ac:dyDescent="0.45">
      <c r="A47" t="s">
        <v>1</v>
      </c>
    </row>
    <row r="48" spans="1:1" x14ac:dyDescent="0.45">
      <c r="A48" t="s">
        <v>1</v>
      </c>
    </row>
    <row r="49" spans="1:1" x14ac:dyDescent="0.45">
      <c r="A49" t="s">
        <v>223</v>
      </c>
    </row>
    <row r="50" spans="1:1" x14ac:dyDescent="0.45">
      <c r="A50" t="s">
        <v>224</v>
      </c>
    </row>
    <row r="51" spans="1:1" x14ac:dyDescent="0.45">
      <c r="A51" t="s">
        <v>1</v>
      </c>
    </row>
    <row r="52" spans="1:1" x14ac:dyDescent="0.45">
      <c r="A52" t="s">
        <v>225</v>
      </c>
    </row>
    <row r="53" spans="1:1" x14ac:dyDescent="0.45">
      <c r="A53" t="s">
        <v>226</v>
      </c>
    </row>
    <row r="54" spans="1:1" x14ac:dyDescent="0.45">
      <c r="A54" t="s">
        <v>1</v>
      </c>
    </row>
    <row r="55" spans="1:1" x14ac:dyDescent="0.45">
      <c r="A55" t="s">
        <v>1</v>
      </c>
    </row>
    <row r="56" spans="1:1" x14ac:dyDescent="0.45">
      <c r="A56" t="s">
        <v>1</v>
      </c>
    </row>
    <row r="57" spans="1:1" x14ac:dyDescent="0.45">
      <c r="A57" t="s">
        <v>227</v>
      </c>
    </row>
    <row r="58" spans="1:1" x14ac:dyDescent="0.45">
      <c r="A58" t="s">
        <v>228</v>
      </c>
    </row>
    <row r="59" spans="1:1" x14ac:dyDescent="0.45">
      <c r="A59" t="s">
        <v>1</v>
      </c>
    </row>
    <row r="60" spans="1:1" x14ac:dyDescent="0.45">
      <c r="A60" t="s">
        <v>1</v>
      </c>
    </row>
    <row r="61" spans="1:1" x14ac:dyDescent="0.45">
      <c r="A61" t="s">
        <v>229</v>
      </c>
    </row>
    <row r="62" spans="1:1" x14ac:dyDescent="0.45">
      <c r="A62" t="s">
        <v>230</v>
      </c>
    </row>
    <row r="63" spans="1:1" x14ac:dyDescent="0.45">
      <c r="A63" t="s">
        <v>231</v>
      </c>
    </row>
    <row r="64" spans="1:1" x14ac:dyDescent="0.45">
      <c r="A64" t="s">
        <v>232</v>
      </c>
    </row>
    <row r="65" spans="1:1" x14ac:dyDescent="0.45">
      <c r="A65" t="s">
        <v>1</v>
      </c>
    </row>
    <row r="66" spans="1:1" x14ac:dyDescent="0.45">
      <c r="A66" t="s">
        <v>233</v>
      </c>
    </row>
    <row r="67" spans="1:1" x14ac:dyDescent="0.45">
      <c r="A67" t="s">
        <v>234</v>
      </c>
    </row>
    <row r="68" spans="1:1" x14ac:dyDescent="0.45">
      <c r="A68" t="s">
        <v>235</v>
      </c>
    </row>
    <row r="69" spans="1:1" x14ac:dyDescent="0.45">
      <c r="A69" t="s">
        <v>236</v>
      </c>
    </row>
    <row r="70" spans="1:1" x14ac:dyDescent="0.45">
      <c r="A70" s="1" t="str">
        <f>"username " &amp; Username &amp; " privilege " &amp; Priviledge_Level &amp; " password 0 " &amp; Password</f>
        <v>username cisco privilege 15 password 0 cisco</v>
      </c>
    </row>
    <row r="71" spans="1:1" x14ac:dyDescent="0.45">
      <c r="A71" t="s">
        <v>1</v>
      </c>
    </row>
    <row r="72" spans="1:1" x14ac:dyDescent="0.45">
      <c r="A72" t="s">
        <v>1</v>
      </c>
    </row>
    <row r="73" spans="1:1" x14ac:dyDescent="0.45">
      <c r="A73" t="s">
        <v>237</v>
      </c>
    </row>
    <row r="74" spans="1:1" x14ac:dyDescent="0.45">
      <c r="A74" t="s">
        <v>238</v>
      </c>
    </row>
    <row r="75" spans="1:1" x14ac:dyDescent="0.45">
      <c r="A75" t="s">
        <v>1</v>
      </c>
    </row>
    <row r="76" spans="1:1" x14ac:dyDescent="0.45">
      <c r="A76" t="s">
        <v>239</v>
      </c>
    </row>
    <row r="77" spans="1:1" x14ac:dyDescent="0.45">
      <c r="A77" t="s">
        <v>240</v>
      </c>
    </row>
    <row r="78" spans="1:1" x14ac:dyDescent="0.45">
      <c r="A78" t="s">
        <v>1</v>
      </c>
    </row>
    <row r="79" spans="1:1" x14ac:dyDescent="0.45">
      <c r="A79" t="s">
        <v>241</v>
      </c>
    </row>
    <row r="80" spans="1:1" x14ac:dyDescent="0.45">
      <c r="A80" t="s">
        <v>242</v>
      </c>
    </row>
    <row r="81" spans="1:1" x14ac:dyDescent="0.45">
      <c r="A81" t="s">
        <v>1</v>
      </c>
    </row>
    <row r="82" spans="1:1" x14ac:dyDescent="0.45">
      <c r="A82" t="s">
        <v>243</v>
      </c>
    </row>
    <row r="83" spans="1:1" x14ac:dyDescent="0.45">
      <c r="A83" t="s">
        <v>244</v>
      </c>
    </row>
    <row r="84" spans="1:1" x14ac:dyDescent="0.45">
      <c r="A84" t="s">
        <v>1</v>
      </c>
    </row>
    <row r="85" spans="1:1" x14ac:dyDescent="0.45">
      <c r="A85" t="s">
        <v>245</v>
      </c>
    </row>
    <row r="86" spans="1:1" x14ac:dyDescent="0.45">
      <c r="A86" t="s">
        <v>246</v>
      </c>
    </row>
    <row r="87" spans="1:1" x14ac:dyDescent="0.45">
      <c r="A87" t="s">
        <v>1</v>
      </c>
    </row>
    <row r="88" spans="1:1" x14ac:dyDescent="0.45">
      <c r="A88" t="s">
        <v>247</v>
      </c>
    </row>
    <row r="89" spans="1:1" x14ac:dyDescent="0.45">
      <c r="A89" t="s">
        <v>248</v>
      </c>
    </row>
    <row r="90" spans="1:1" x14ac:dyDescent="0.45">
      <c r="A90" t="s">
        <v>1</v>
      </c>
    </row>
    <row r="91" spans="1:1" x14ac:dyDescent="0.45">
      <c r="A91" t="s">
        <v>249</v>
      </c>
    </row>
    <row r="92" spans="1:1" x14ac:dyDescent="0.45">
      <c r="A92" t="s">
        <v>250</v>
      </c>
    </row>
    <row r="93" spans="1:1" x14ac:dyDescent="0.45">
      <c r="A93" t="s">
        <v>1</v>
      </c>
    </row>
    <row r="94" spans="1:1" x14ac:dyDescent="0.45">
      <c r="A94" t="s">
        <v>43</v>
      </c>
    </row>
    <row r="95" spans="1:1" x14ac:dyDescent="0.45">
      <c r="A95" t="s">
        <v>1</v>
      </c>
    </row>
    <row r="96" spans="1:1" x14ac:dyDescent="0.45">
      <c r="A96" t="s">
        <v>1</v>
      </c>
    </row>
    <row r="97" spans="1:1" x14ac:dyDescent="0.45">
      <c r="A97" t="s">
        <v>1</v>
      </c>
    </row>
    <row r="98" spans="1:1" x14ac:dyDescent="0.45">
      <c r="A98" t="s">
        <v>1</v>
      </c>
    </row>
    <row r="99" spans="1:1" x14ac:dyDescent="0.45">
      <c r="A99" t="s">
        <v>1</v>
      </c>
    </row>
    <row r="100" spans="1:1" x14ac:dyDescent="0.45">
      <c r="A100" t="s">
        <v>1</v>
      </c>
    </row>
    <row r="101" spans="1:1" x14ac:dyDescent="0.45">
      <c r="A101" t="s">
        <v>1</v>
      </c>
    </row>
    <row r="102" spans="1:1" x14ac:dyDescent="0.45">
      <c r="A102" t="s">
        <v>1</v>
      </c>
    </row>
    <row r="103" spans="1:1" x14ac:dyDescent="0.45">
      <c r="A103" t="s">
        <v>1</v>
      </c>
    </row>
    <row r="104" spans="1:1" x14ac:dyDescent="0.45">
      <c r="A104" t="s">
        <v>1</v>
      </c>
    </row>
    <row r="105" spans="1:1" x14ac:dyDescent="0.45">
      <c r="A105" t="s">
        <v>1</v>
      </c>
    </row>
    <row r="106" spans="1:1" x14ac:dyDescent="0.45">
      <c r="A106" t="s">
        <v>251</v>
      </c>
    </row>
    <row r="107" spans="1:1" x14ac:dyDescent="0.45">
      <c r="A107" t="s">
        <v>252</v>
      </c>
    </row>
    <row r="108" spans="1:1" x14ac:dyDescent="0.45">
      <c r="A108" t="s">
        <v>253</v>
      </c>
    </row>
    <row r="109" spans="1:1" x14ac:dyDescent="0.45">
      <c r="A109" t="s">
        <v>1</v>
      </c>
    </row>
    <row r="110" spans="1:1" x14ac:dyDescent="0.45">
      <c r="A110" t="s">
        <v>254</v>
      </c>
    </row>
    <row r="111" spans="1:1" x14ac:dyDescent="0.45">
      <c r="A111" t="s">
        <v>252</v>
      </c>
    </row>
    <row r="112" spans="1:1" x14ac:dyDescent="0.45">
      <c r="A112" t="s">
        <v>253</v>
      </c>
    </row>
    <row r="113" spans="1:1" x14ac:dyDescent="0.45">
      <c r="A113" t="s">
        <v>1</v>
      </c>
    </row>
    <row r="114" spans="1:1" x14ac:dyDescent="0.45">
      <c r="A114" t="s">
        <v>255</v>
      </c>
    </row>
    <row r="115" spans="1:1" x14ac:dyDescent="0.45">
      <c r="A115" t="s">
        <v>256</v>
      </c>
    </row>
    <row r="116" spans="1:1" x14ac:dyDescent="0.45">
      <c r="A116" t="s">
        <v>257</v>
      </c>
    </row>
    <row r="117" spans="1:1" x14ac:dyDescent="0.45">
      <c r="A117" t="s">
        <v>258</v>
      </c>
    </row>
    <row r="118" spans="1:1" x14ac:dyDescent="0.45">
      <c r="A118" t="s">
        <v>259</v>
      </c>
    </row>
    <row r="119" spans="1:1" x14ac:dyDescent="0.45">
      <c r="A119" t="s">
        <v>1</v>
      </c>
    </row>
    <row r="120" spans="1:1" x14ac:dyDescent="0.45">
      <c r="A120" t="s">
        <v>260</v>
      </c>
    </row>
    <row r="121" spans="1:1" x14ac:dyDescent="0.45">
      <c r="A121" t="s">
        <v>261</v>
      </c>
    </row>
    <row r="122" spans="1:1" x14ac:dyDescent="0.45">
      <c r="A122" t="s">
        <v>257</v>
      </c>
    </row>
    <row r="123" spans="1:1" x14ac:dyDescent="0.45">
      <c r="A123" t="s">
        <v>258</v>
      </c>
    </row>
    <row r="124" spans="1:1" x14ac:dyDescent="0.45">
      <c r="A124" t="s">
        <v>259</v>
      </c>
    </row>
    <row r="125" spans="1:1" x14ac:dyDescent="0.45">
      <c r="A125" t="s">
        <v>1</v>
      </c>
    </row>
    <row r="126" spans="1:1" x14ac:dyDescent="0.45">
      <c r="A126" t="s">
        <v>262</v>
      </c>
    </row>
    <row r="127" spans="1:1" x14ac:dyDescent="0.45">
      <c r="A127" t="s">
        <v>263</v>
      </c>
    </row>
    <row r="128" spans="1:1" x14ac:dyDescent="0.45">
      <c r="A128" t="s">
        <v>264</v>
      </c>
    </row>
    <row r="129" spans="1:1" x14ac:dyDescent="0.45">
      <c r="A129" t="s">
        <v>258</v>
      </c>
    </row>
    <row r="130" spans="1:1" x14ac:dyDescent="0.45">
      <c r="A130" t="s">
        <v>259</v>
      </c>
    </row>
    <row r="131" spans="1:1" x14ac:dyDescent="0.45">
      <c r="A131" t="s">
        <v>1</v>
      </c>
    </row>
    <row r="132" spans="1:1" x14ac:dyDescent="0.45">
      <c r="A132" t="s">
        <v>265</v>
      </c>
    </row>
    <row r="133" spans="1:1" x14ac:dyDescent="0.45">
      <c r="A133" t="s">
        <v>263</v>
      </c>
    </row>
    <row r="134" spans="1:1" x14ac:dyDescent="0.45">
      <c r="A134" t="s">
        <v>264</v>
      </c>
    </row>
    <row r="135" spans="1:1" x14ac:dyDescent="0.45">
      <c r="A135" t="s">
        <v>258</v>
      </c>
    </row>
    <row r="136" spans="1:1" x14ac:dyDescent="0.45">
      <c r="A136" t="s">
        <v>259</v>
      </c>
    </row>
    <row r="137" spans="1:1" x14ac:dyDescent="0.45">
      <c r="A137" t="s">
        <v>1</v>
      </c>
    </row>
    <row r="138" spans="1:1" x14ac:dyDescent="0.45">
      <c r="A138" t="s">
        <v>266</v>
      </c>
    </row>
    <row r="139" spans="1:1" x14ac:dyDescent="0.45">
      <c r="A139" t="s">
        <v>263</v>
      </c>
    </row>
    <row r="140" spans="1:1" x14ac:dyDescent="0.45">
      <c r="A140" t="s">
        <v>264</v>
      </c>
    </row>
    <row r="141" spans="1:1" x14ac:dyDescent="0.45">
      <c r="A141" t="s">
        <v>258</v>
      </c>
    </row>
    <row r="142" spans="1:1" x14ac:dyDescent="0.45">
      <c r="A142" t="s">
        <v>259</v>
      </c>
    </row>
    <row r="143" spans="1:1" x14ac:dyDescent="0.45">
      <c r="A143" t="s">
        <v>1</v>
      </c>
    </row>
    <row r="144" spans="1:1" x14ac:dyDescent="0.45">
      <c r="A144" t="s">
        <v>267</v>
      </c>
    </row>
    <row r="145" spans="1:1" x14ac:dyDescent="0.45">
      <c r="A145" t="s">
        <v>263</v>
      </c>
    </row>
    <row r="146" spans="1:1" x14ac:dyDescent="0.45">
      <c r="A146" t="s">
        <v>264</v>
      </c>
    </row>
    <row r="147" spans="1:1" x14ac:dyDescent="0.45">
      <c r="A147" t="s">
        <v>258</v>
      </c>
    </row>
    <row r="148" spans="1:1" x14ac:dyDescent="0.45">
      <c r="A148" t="s">
        <v>259</v>
      </c>
    </row>
    <row r="149" spans="1:1" x14ac:dyDescent="0.45">
      <c r="A149" t="s">
        <v>1</v>
      </c>
    </row>
    <row r="150" spans="1:1" x14ac:dyDescent="0.45">
      <c r="A150" t="s">
        <v>268</v>
      </c>
    </row>
    <row r="151" spans="1:1" x14ac:dyDescent="0.45">
      <c r="A151" t="s">
        <v>269</v>
      </c>
    </row>
    <row r="152" spans="1:1" x14ac:dyDescent="0.45">
      <c r="A152" t="s">
        <v>270</v>
      </c>
    </row>
    <row r="153" spans="1:1" x14ac:dyDescent="0.45">
      <c r="A153" t="s">
        <v>258</v>
      </c>
    </row>
    <row r="154" spans="1:1" x14ac:dyDescent="0.45">
      <c r="A154" t="s">
        <v>259</v>
      </c>
    </row>
    <row r="155" spans="1:1" x14ac:dyDescent="0.45">
      <c r="A155" t="s">
        <v>1</v>
      </c>
    </row>
    <row r="156" spans="1:1" x14ac:dyDescent="0.45">
      <c r="A156" t="s">
        <v>271</v>
      </c>
    </row>
    <row r="157" spans="1:1" x14ac:dyDescent="0.45">
      <c r="A157" t="s">
        <v>272</v>
      </c>
    </row>
    <row r="158" spans="1:1" x14ac:dyDescent="0.45">
      <c r="A158" t="s">
        <v>253</v>
      </c>
    </row>
    <row r="159" spans="1:1" x14ac:dyDescent="0.45">
      <c r="A159" t="s">
        <v>273</v>
      </c>
    </row>
    <row r="160" spans="1:1" x14ac:dyDescent="0.45">
      <c r="A160" t="s">
        <v>1</v>
      </c>
    </row>
    <row r="161" spans="1:1" x14ac:dyDescent="0.45">
      <c r="A161" t="s">
        <v>274</v>
      </c>
    </row>
    <row r="162" spans="1:1" x14ac:dyDescent="0.45">
      <c r="A162" t="s">
        <v>113</v>
      </c>
    </row>
    <row r="163" spans="1:1" x14ac:dyDescent="0.45">
      <c r="A163" t="s">
        <v>1</v>
      </c>
    </row>
    <row r="164" spans="1:1" x14ac:dyDescent="0.45">
      <c r="A164" t="s">
        <v>275</v>
      </c>
    </row>
    <row r="165" spans="1:1" x14ac:dyDescent="0.45">
      <c r="A165" t="s">
        <v>276</v>
      </c>
    </row>
    <row r="166" spans="1:1" x14ac:dyDescent="0.45">
      <c r="A166" s="1" t="e">
        <f>CONCATENATE(" ip address ",UCAN_Switch_MGMT_IP, " ", UCAN_Switch_MGMT_Mask)</f>
        <v>#REF!</v>
      </c>
    </row>
    <row r="167" spans="1:1" x14ac:dyDescent="0.45">
      <c r="A167" t="s">
        <v>87</v>
      </c>
    </row>
    <row r="168" spans="1:1" x14ac:dyDescent="0.45">
      <c r="A168" t="s">
        <v>88</v>
      </c>
    </row>
    <row r="169" spans="1:1" x14ac:dyDescent="0.45">
      <c r="A169" t="s">
        <v>1</v>
      </c>
    </row>
    <row r="170" spans="1:1" x14ac:dyDescent="0.45">
      <c r="A170" s="1" t="e">
        <f>"ip default-gateway " &amp; UCAN_Switch_Default_GW</f>
        <v>#REF!</v>
      </c>
    </row>
    <row r="171" spans="1:1" x14ac:dyDescent="0.45">
      <c r="A171" t="s">
        <v>277</v>
      </c>
    </row>
    <row r="172" spans="1:1" x14ac:dyDescent="0.45">
      <c r="A172" t="s">
        <v>278</v>
      </c>
    </row>
    <row r="173" spans="1:1" x14ac:dyDescent="0.45">
      <c r="A173" t="s">
        <v>279</v>
      </c>
    </row>
    <row r="174" spans="1:1" x14ac:dyDescent="0.45">
      <c r="A174" t="s">
        <v>132</v>
      </c>
    </row>
    <row r="175" spans="1:1" x14ac:dyDescent="0.45">
      <c r="A175" t="s">
        <v>1</v>
      </c>
    </row>
    <row r="176" spans="1:1" x14ac:dyDescent="0.45">
      <c r="A176" t="s">
        <v>280</v>
      </c>
    </row>
    <row r="177" spans="1:1" x14ac:dyDescent="0.45">
      <c r="A177" t="s">
        <v>281</v>
      </c>
    </row>
    <row r="178" spans="1:1" x14ac:dyDescent="0.45">
      <c r="A178" t="s">
        <v>282</v>
      </c>
    </row>
    <row r="179" spans="1:1" x14ac:dyDescent="0.45">
      <c r="A179" t="s">
        <v>1</v>
      </c>
    </row>
    <row r="180" spans="1:1" x14ac:dyDescent="0.45">
      <c r="A180" t="s">
        <v>1</v>
      </c>
    </row>
    <row r="181" spans="1:1" x14ac:dyDescent="0.45">
      <c r="A181" t="s">
        <v>283</v>
      </c>
    </row>
    <row r="182" spans="1:1" x14ac:dyDescent="0.45">
      <c r="A182" t="s">
        <v>284</v>
      </c>
    </row>
    <row r="183" spans="1:1" x14ac:dyDescent="0.45">
      <c r="A183" s="1" t="e">
        <f>CONCATENATE("permit ",UCAN_MGMT_Network, " ",InverseNetmask( UCAN_MGMT_Mask))</f>
        <v>#REF!</v>
      </c>
    </row>
    <row r="184" spans="1:1" x14ac:dyDescent="0.45">
      <c r="A184" t="s">
        <v>285</v>
      </c>
    </row>
    <row r="185" spans="1:1" x14ac:dyDescent="0.45">
      <c r="A185" t="s">
        <v>286</v>
      </c>
    </row>
    <row r="186" spans="1:1" x14ac:dyDescent="0.45">
      <c r="A186" s="1" t="e">
        <f>CONCATENATE("permit ",UCAN_MGMT_Network, " ",InverseNetmask( UCAN_MGMT_Mask))</f>
        <v>#REF!</v>
      </c>
    </row>
    <row r="187" spans="1:1" x14ac:dyDescent="0.45">
      <c r="A187" t="s">
        <v>1</v>
      </c>
    </row>
    <row r="188" spans="1:1" x14ac:dyDescent="0.45">
      <c r="A188" t="s">
        <v>287</v>
      </c>
    </row>
    <row r="189" spans="1:1" x14ac:dyDescent="0.45">
      <c r="A189" s="1" t="str">
        <f>"logging host " &amp; Logging_Host</f>
        <v>logging host 1.1.1.1</v>
      </c>
    </row>
    <row r="190" spans="1:1" x14ac:dyDescent="0.45">
      <c r="A190" t="s">
        <v>1</v>
      </c>
    </row>
    <row r="191" spans="1:1" x14ac:dyDescent="0.45">
      <c r="A191" t="s">
        <v>1</v>
      </c>
    </row>
    <row r="192" spans="1:1" x14ac:dyDescent="0.45">
      <c r="A192" t="s">
        <v>1</v>
      </c>
    </row>
    <row r="193" spans="1:1" x14ac:dyDescent="0.45">
      <c r="A193" t="s">
        <v>288</v>
      </c>
    </row>
    <row r="194" spans="1:1" x14ac:dyDescent="0.45">
      <c r="A194" t="s">
        <v>289</v>
      </c>
    </row>
    <row r="195" spans="1:1" x14ac:dyDescent="0.45">
      <c r="A195" t="s">
        <v>290</v>
      </c>
    </row>
    <row r="196" spans="1:1" x14ac:dyDescent="0.45">
      <c r="A196" t="s">
        <v>291</v>
      </c>
    </row>
    <row r="197" spans="1:1" x14ac:dyDescent="0.45">
      <c r="A197" t="s">
        <v>1</v>
      </c>
    </row>
    <row r="198" spans="1:1" x14ac:dyDescent="0.45">
      <c r="A198" t="s">
        <v>1</v>
      </c>
    </row>
    <row r="199" spans="1:1" x14ac:dyDescent="0.45">
      <c r="A199" t="s">
        <v>1</v>
      </c>
    </row>
    <row r="200" spans="1:1" x14ac:dyDescent="0.45">
      <c r="A200" t="s">
        <v>145</v>
      </c>
    </row>
    <row r="201" spans="1:1" x14ac:dyDescent="0.45">
      <c r="A201" t="s">
        <v>1</v>
      </c>
    </row>
    <row r="202" spans="1:1" x14ac:dyDescent="0.45">
      <c r="A202" t="s">
        <v>292</v>
      </c>
    </row>
    <row r="203" spans="1:1" x14ac:dyDescent="0.45">
      <c r="A203" t="s">
        <v>293</v>
      </c>
    </row>
    <row r="204" spans="1:1" x14ac:dyDescent="0.45">
      <c r="A204" t="s">
        <v>294</v>
      </c>
    </row>
    <row r="205" spans="1:1" x14ac:dyDescent="0.45">
      <c r="A205" t="s">
        <v>1</v>
      </c>
    </row>
    <row r="206" spans="1:1" x14ac:dyDescent="0.45">
      <c r="A206" t="s">
        <v>146</v>
      </c>
    </row>
    <row r="207" spans="1:1" x14ac:dyDescent="0.45">
      <c r="A207" t="s">
        <v>147</v>
      </c>
    </row>
    <row r="208" spans="1:1" x14ac:dyDescent="0.45">
      <c r="A208" t="s">
        <v>295</v>
      </c>
    </row>
    <row r="209" spans="1:1" x14ac:dyDescent="0.45">
      <c r="A209" t="s">
        <v>148</v>
      </c>
    </row>
    <row r="210" spans="1:1" x14ac:dyDescent="0.45">
      <c r="A210" t="s">
        <v>295</v>
      </c>
    </row>
    <row r="211" spans="1:1" x14ac:dyDescent="0.45">
      <c r="A211" t="s">
        <v>149</v>
      </c>
    </row>
    <row r="212" spans="1:1" x14ac:dyDescent="0.45">
      <c r="A212" t="s">
        <v>296</v>
      </c>
    </row>
    <row r="213" spans="1:1" x14ac:dyDescent="0.45">
      <c r="A213" t="s">
        <v>150</v>
      </c>
    </row>
    <row r="214" spans="1:1" x14ac:dyDescent="0.45">
      <c r="A214" t="s">
        <v>147</v>
      </c>
    </row>
    <row r="215" spans="1:1" x14ac:dyDescent="0.45">
      <c r="A215" t="s">
        <v>151</v>
      </c>
    </row>
    <row r="216" spans="1:1" x14ac:dyDescent="0.45">
      <c r="A216" t="s">
        <v>152</v>
      </c>
    </row>
    <row r="217" spans="1:1" x14ac:dyDescent="0.45">
      <c r="A217" t="s">
        <v>153</v>
      </c>
    </row>
    <row r="218" spans="1:1" x14ac:dyDescent="0.45">
      <c r="A218" t="s">
        <v>296</v>
      </c>
    </row>
    <row r="219" spans="1:1" x14ac:dyDescent="0.45">
      <c r="A219" t="s">
        <v>150</v>
      </c>
    </row>
    <row r="220" spans="1:1" x14ac:dyDescent="0.45">
      <c r="A220" t="s">
        <v>147</v>
      </c>
    </row>
    <row r="221" spans="1:1" x14ac:dyDescent="0.45">
      <c r="A221" t="s">
        <v>151</v>
      </c>
    </row>
    <row r="222" spans="1:1" x14ac:dyDescent="0.45">
      <c r="A222" t="s">
        <v>152</v>
      </c>
    </row>
    <row r="223" spans="1:1" x14ac:dyDescent="0.45">
      <c r="A223" t="s">
        <v>1</v>
      </c>
    </row>
    <row r="224" spans="1:1" x14ac:dyDescent="0.45">
      <c r="A224" t="s">
        <v>297</v>
      </c>
    </row>
    <row r="225" spans="1:1" x14ac:dyDescent="0.45">
      <c r="A225" s="1" t="str">
        <f>"ntp server " &amp; NTP_Server</f>
        <v>ntp server 1.1.1.1</v>
      </c>
    </row>
    <row r="226" spans="1:1" x14ac:dyDescent="0.45">
      <c r="A226" t="s">
        <v>1</v>
      </c>
    </row>
    <row r="227" spans="1:1" x14ac:dyDescent="0.45">
      <c r="A227" t="s">
        <v>298</v>
      </c>
    </row>
    <row r="228" spans="1:1" x14ac:dyDescent="0.45">
      <c r="A228" t="s">
        <v>1</v>
      </c>
    </row>
    <row r="229" spans="1:1" x14ac:dyDescent="0.45">
      <c r="A229" t="s">
        <v>1</v>
      </c>
    </row>
    <row r="230" spans="1:1" x14ac:dyDescent="0.45">
      <c r="A230" t="s">
        <v>1</v>
      </c>
    </row>
    <row r="231" spans="1:1" x14ac:dyDescent="0.45">
      <c r="A231" t="s">
        <v>1</v>
      </c>
    </row>
    <row r="232" spans="1:1" x14ac:dyDescent="0.45">
      <c r="A232" t="s">
        <v>1</v>
      </c>
    </row>
    <row r="233" spans="1:1" x14ac:dyDescent="0.45">
      <c r="A233" t="s">
        <v>154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588F4-7DBB-49E4-B8D5-9497E631CBFB}">
  <sheetPr codeName="Sheet7">
    <tabColor rgb="FFFF0000"/>
  </sheetPr>
  <dimension ref="A1:A260"/>
  <sheetViews>
    <sheetView topLeftCell="A40" workbookViewId="0">
      <selection activeCell="A73" sqref="A73"/>
    </sheetView>
  </sheetViews>
  <sheetFormatPr defaultColWidth="8.796875" defaultRowHeight="14.25" x14ac:dyDescent="0.45"/>
  <cols>
    <col min="1" max="1" width="111.1328125" customWidth="1"/>
  </cols>
  <sheetData>
    <row r="1" spans="1:1" x14ac:dyDescent="0.45">
      <c r="A1" t="s">
        <v>305</v>
      </c>
    </row>
    <row r="2" spans="1:1" x14ac:dyDescent="0.45">
      <c r="A2" t="s">
        <v>1</v>
      </c>
    </row>
    <row r="3" spans="1:1" x14ac:dyDescent="0.45">
      <c r="A3" s="1" t="str">
        <f xml:space="preserve"> "hostname UCAN-" &amp; Hostname &amp; "-TF"</f>
        <v>hostname UCAN-100-TF</v>
      </c>
    </row>
    <row r="4" spans="1:1" x14ac:dyDescent="0.45">
      <c r="A4" s="1" t="str">
        <f>"enable password " &amp; Enable_Secret</f>
        <v>enable password cisco</v>
      </c>
    </row>
    <row r="5" spans="1:1" x14ac:dyDescent="0.45">
      <c r="A5" t="s">
        <v>306</v>
      </c>
    </row>
    <row r="6" spans="1:1" x14ac:dyDescent="0.45">
      <c r="A6" t="s">
        <v>307</v>
      </c>
    </row>
    <row r="8" spans="1:1" x14ac:dyDescent="0.45">
      <c r="A8" t="s">
        <v>1</v>
      </c>
    </row>
    <row r="9" spans="1:1" x14ac:dyDescent="0.45">
      <c r="A9" t="s">
        <v>308</v>
      </c>
    </row>
    <row r="10" spans="1:1" x14ac:dyDescent="0.45">
      <c r="A10" t="s">
        <v>309</v>
      </c>
    </row>
    <row r="11" spans="1:1" x14ac:dyDescent="0.45">
      <c r="A11" t="s">
        <v>310</v>
      </c>
    </row>
    <row r="12" spans="1:1" x14ac:dyDescent="0.45">
      <c r="A12" t="s">
        <v>311</v>
      </c>
    </row>
    <row r="13" spans="1:1" x14ac:dyDescent="0.45">
      <c r="A13" t="s">
        <v>312</v>
      </c>
    </row>
    <row r="14" spans="1:1" x14ac:dyDescent="0.45">
      <c r="A14" t="s">
        <v>313</v>
      </c>
    </row>
    <row r="15" spans="1:1" x14ac:dyDescent="0.45">
      <c r="A15" t="s">
        <v>1</v>
      </c>
    </row>
    <row r="16" spans="1:1" x14ac:dyDescent="0.45">
      <c r="A16" t="s">
        <v>314</v>
      </c>
    </row>
    <row r="17" spans="1:1" x14ac:dyDescent="0.45">
      <c r="A17" t="s">
        <v>315</v>
      </c>
    </row>
    <row r="18" spans="1:1" x14ac:dyDescent="0.45">
      <c r="A18" t="s">
        <v>316</v>
      </c>
    </row>
    <row r="19" spans="1:1" x14ac:dyDescent="0.45">
      <c r="A19" s="1" t="e">
        <f>CONCATENATE(" ip address ",UCAN_ASA_Trusted_IP, " ",UCAN_ASA_Trusted_Mask)</f>
        <v>#REF!</v>
      </c>
    </row>
    <row r="20" spans="1:1" x14ac:dyDescent="0.45">
      <c r="A20" t="s">
        <v>317</v>
      </c>
    </row>
    <row r="21" spans="1:1" x14ac:dyDescent="0.45">
      <c r="A21" t="s">
        <v>312</v>
      </c>
    </row>
    <row r="22" spans="1:1" x14ac:dyDescent="0.45">
      <c r="A22" t="s">
        <v>1</v>
      </c>
    </row>
    <row r="23" spans="1:1" x14ac:dyDescent="0.45">
      <c r="A23" t="s">
        <v>318</v>
      </c>
    </row>
    <row r="24" spans="1:1" x14ac:dyDescent="0.45">
      <c r="A24" t="s">
        <v>114</v>
      </c>
    </row>
    <row r="25" spans="1:1" x14ac:dyDescent="0.45">
      <c r="A25" t="s">
        <v>320</v>
      </c>
    </row>
    <row r="26" spans="1:1" x14ac:dyDescent="0.45">
      <c r="A26" t="s">
        <v>321</v>
      </c>
    </row>
    <row r="27" spans="1:1" x14ac:dyDescent="0.45">
      <c r="A27" t="s">
        <v>113</v>
      </c>
    </row>
    <row r="28" spans="1:1" x14ac:dyDescent="0.45">
      <c r="A28" t="s">
        <v>1</v>
      </c>
    </row>
    <row r="29" spans="1:1" x14ac:dyDescent="0.45">
      <c r="A29" t="s">
        <v>319</v>
      </c>
    </row>
    <row r="30" spans="1:1" x14ac:dyDescent="0.45">
      <c r="A30" t="s">
        <v>114</v>
      </c>
    </row>
    <row r="31" spans="1:1" x14ac:dyDescent="0.45">
      <c r="A31" t="s">
        <v>320</v>
      </c>
    </row>
    <row r="32" spans="1:1" x14ac:dyDescent="0.45">
      <c r="A32" t="s">
        <v>321</v>
      </c>
    </row>
    <row r="33" spans="1:1" x14ac:dyDescent="0.45">
      <c r="A33" t="s">
        <v>113</v>
      </c>
    </row>
    <row r="34" spans="1:1" x14ac:dyDescent="0.45">
      <c r="A34" t="s">
        <v>1</v>
      </c>
    </row>
    <row r="35" spans="1:1" x14ac:dyDescent="0.45">
      <c r="A35" t="s">
        <v>322</v>
      </c>
    </row>
    <row r="36" spans="1:1" x14ac:dyDescent="0.45">
      <c r="A36" t="s">
        <v>114</v>
      </c>
    </row>
    <row r="37" spans="1:1" x14ac:dyDescent="0.45">
      <c r="A37" t="s">
        <v>320</v>
      </c>
    </row>
    <row r="38" spans="1:1" x14ac:dyDescent="0.45">
      <c r="A38" t="s">
        <v>321</v>
      </c>
    </row>
    <row r="39" spans="1:1" x14ac:dyDescent="0.45">
      <c r="A39" t="s">
        <v>113</v>
      </c>
    </row>
    <row r="40" spans="1:1" x14ac:dyDescent="0.45">
      <c r="A40" t="s">
        <v>1</v>
      </c>
    </row>
    <row r="41" spans="1:1" x14ac:dyDescent="0.45">
      <c r="A41" t="s">
        <v>323</v>
      </c>
    </row>
    <row r="42" spans="1:1" x14ac:dyDescent="0.45">
      <c r="A42" t="s">
        <v>114</v>
      </c>
    </row>
    <row r="43" spans="1:1" x14ac:dyDescent="0.45">
      <c r="A43" t="s">
        <v>320</v>
      </c>
    </row>
    <row r="44" spans="1:1" x14ac:dyDescent="0.45">
      <c r="A44" t="s">
        <v>321</v>
      </c>
    </row>
    <row r="45" spans="1:1" x14ac:dyDescent="0.45">
      <c r="A45" t="s">
        <v>113</v>
      </c>
    </row>
    <row r="46" spans="1:1" x14ac:dyDescent="0.45">
      <c r="A46" t="s">
        <v>1</v>
      </c>
    </row>
    <row r="47" spans="1:1" x14ac:dyDescent="0.45">
      <c r="A47" t="s">
        <v>324</v>
      </c>
    </row>
    <row r="48" spans="1:1" x14ac:dyDescent="0.45">
      <c r="A48" t="s">
        <v>114</v>
      </c>
    </row>
    <row r="49" spans="1:1" x14ac:dyDescent="0.45">
      <c r="A49" t="s">
        <v>320</v>
      </c>
    </row>
    <row r="50" spans="1:1" x14ac:dyDescent="0.45">
      <c r="A50" t="s">
        <v>321</v>
      </c>
    </row>
    <row r="51" spans="1:1" x14ac:dyDescent="0.45">
      <c r="A51" t="s">
        <v>113</v>
      </c>
    </row>
    <row r="52" spans="1:1" x14ac:dyDescent="0.45">
      <c r="A52" t="s">
        <v>1</v>
      </c>
    </row>
    <row r="53" spans="1:1" x14ac:dyDescent="0.45">
      <c r="A53" t="s">
        <v>325</v>
      </c>
    </row>
    <row r="54" spans="1:1" x14ac:dyDescent="0.45">
      <c r="A54" t="s">
        <v>114</v>
      </c>
    </row>
    <row r="55" spans="1:1" x14ac:dyDescent="0.45">
      <c r="A55" t="s">
        <v>320</v>
      </c>
    </row>
    <row r="56" spans="1:1" x14ac:dyDescent="0.45">
      <c r="A56" t="s">
        <v>321</v>
      </c>
    </row>
    <row r="57" spans="1:1" x14ac:dyDescent="0.45">
      <c r="A57" t="s">
        <v>113</v>
      </c>
    </row>
    <row r="58" spans="1:1" x14ac:dyDescent="0.45">
      <c r="A58" t="s">
        <v>1</v>
      </c>
    </row>
    <row r="59" spans="1:1" x14ac:dyDescent="0.45">
      <c r="A59" t="s">
        <v>326</v>
      </c>
    </row>
    <row r="60" spans="1:1" x14ac:dyDescent="0.45">
      <c r="A60" t="s">
        <v>114</v>
      </c>
    </row>
    <row r="61" spans="1:1" x14ac:dyDescent="0.45">
      <c r="A61" t="s">
        <v>320</v>
      </c>
    </row>
    <row r="62" spans="1:1" x14ac:dyDescent="0.45">
      <c r="A62" t="s">
        <v>321</v>
      </c>
    </row>
    <row r="63" spans="1:1" x14ac:dyDescent="0.45">
      <c r="A63" t="s">
        <v>113</v>
      </c>
    </row>
    <row r="64" spans="1:1" x14ac:dyDescent="0.45">
      <c r="A64" t="s">
        <v>1</v>
      </c>
    </row>
    <row r="65" spans="1:1" x14ac:dyDescent="0.45">
      <c r="A65" t="s">
        <v>327</v>
      </c>
    </row>
    <row r="66" spans="1:1" x14ac:dyDescent="0.45">
      <c r="A66" t="s">
        <v>328</v>
      </c>
    </row>
    <row r="67" spans="1:1" x14ac:dyDescent="0.45">
      <c r="A67" t="s">
        <v>316</v>
      </c>
    </row>
    <row r="68" spans="1:1" x14ac:dyDescent="0.45">
      <c r="A68" s="1" t="e">
        <f>CONCATENATE(" ip address ",FCAN_ASA_MGMT_IP, " ", FCAN_ASA_MGMT_Mask)</f>
        <v>#NAME?</v>
      </c>
    </row>
    <row r="69" spans="1:1" x14ac:dyDescent="0.45">
      <c r="A69" t="s">
        <v>1</v>
      </c>
    </row>
    <row r="70" spans="1:1" x14ac:dyDescent="0.45">
      <c r="A70" t="s">
        <v>329</v>
      </c>
    </row>
    <row r="71" spans="1:1" x14ac:dyDescent="0.45">
      <c r="A71" t="s">
        <v>330</v>
      </c>
    </row>
    <row r="72" spans="1:1" x14ac:dyDescent="0.45">
      <c r="A72" t="s">
        <v>331</v>
      </c>
    </row>
    <row r="73" spans="1:1" x14ac:dyDescent="0.45">
      <c r="A73" t="s">
        <v>332</v>
      </c>
    </row>
    <row r="74" spans="1:1" x14ac:dyDescent="0.45">
      <c r="A74" t="s">
        <v>333</v>
      </c>
    </row>
    <row r="75" spans="1:1" x14ac:dyDescent="0.45">
      <c r="A75" t="s">
        <v>334</v>
      </c>
    </row>
    <row r="76" spans="1:1" x14ac:dyDescent="0.45">
      <c r="A76" t="s">
        <v>335</v>
      </c>
    </row>
    <row r="77" spans="1:1" x14ac:dyDescent="0.45">
      <c r="A77" t="s">
        <v>336</v>
      </c>
    </row>
    <row r="78" spans="1:1" x14ac:dyDescent="0.45">
      <c r="A78" t="s">
        <v>337</v>
      </c>
    </row>
    <row r="79" spans="1:1" x14ac:dyDescent="0.45">
      <c r="A79" t="s">
        <v>338</v>
      </c>
    </row>
    <row r="80" spans="1:1" x14ac:dyDescent="0.45">
      <c r="A80" t="s">
        <v>339</v>
      </c>
    </row>
    <row r="81" spans="1:1" x14ac:dyDescent="0.45">
      <c r="A81" t="s">
        <v>340</v>
      </c>
    </row>
    <row r="82" spans="1:1" x14ac:dyDescent="0.45">
      <c r="A82" t="s">
        <v>341</v>
      </c>
    </row>
    <row r="83" spans="1:1" x14ac:dyDescent="0.45">
      <c r="A83" t="s">
        <v>342</v>
      </c>
    </row>
    <row r="84" spans="1:1" x14ac:dyDescent="0.45">
      <c r="A84" t="s">
        <v>343</v>
      </c>
    </row>
    <row r="85" spans="1:1" x14ac:dyDescent="0.45">
      <c r="A85" t="s">
        <v>344</v>
      </c>
    </row>
    <row r="86" spans="1:1" x14ac:dyDescent="0.45">
      <c r="A86" t="s">
        <v>345</v>
      </c>
    </row>
    <row r="87" spans="1:1" x14ac:dyDescent="0.45">
      <c r="A87" t="s">
        <v>341</v>
      </c>
    </row>
    <row r="88" spans="1:1" x14ac:dyDescent="0.45">
      <c r="A88" t="s">
        <v>342</v>
      </c>
    </row>
    <row r="89" spans="1:1" x14ac:dyDescent="0.45">
      <c r="A89" t="s">
        <v>346</v>
      </c>
    </row>
    <row r="90" spans="1:1" x14ac:dyDescent="0.45">
      <c r="A90" t="s">
        <v>344</v>
      </c>
    </row>
    <row r="91" spans="1:1" x14ac:dyDescent="0.45">
      <c r="A91" t="s">
        <v>345</v>
      </c>
    </row>
    <row r="92" spans="1:1" x14ac:dyDescent="0.45">
      <c r="A92" t="s">
        <v>341</v>
      </c>
    </row>
    <row r="93" spans="1:1" x14ac:dyDescent="0.45">
      <c r="A93" t="s">
        <v>342</v>
      </c>
    </row>
    <row r="94" spans="1:1" x14ac:dyDescent="0.45">
      <c r="A94" t="s">
        <v>347</v>
      </c>
    </row>
    <row r="95" spans="1:1" x14ac:dyDescent="0.45">
      <c r="A95" t="s">
        <v>348</v>
      </c>
    </row>
    <row r="96" spans="1:1" x14ac:dyDescent="0.45">
      <c r="A96" t="s">
        <v>349</v>
      </c>
    </row>
    <row r="97" spans="1:1" x14ac:dyDescent="0.45">
      <c r="A97" t="s">
        <v>350</v>
      </c>
    </row>
    <row r="98" spans="1:1" x14ac:dyDescent="0.45">
      <c r="A98" t="s">
        <v>351</v>
      </c>
    </row>
    <row r="99" spans="1:1" x14ac:dyDescent="0.45">
      <c r="A99" t="s">
        <v>352</v>
      </c>
    </row>
    <row r="100" spans="1:1" x14ac:dyDescent="0.45">
      <c r="A100" t="s">
        <v>353</v>
      </c>
    </row>
    <row r="101" spans="1:1" x14ac:dyDescent="0.45">
      <c r="A101" t="s">
        <v>354</v>
      </c>
    </row>
    <row r="102" spans="1:1" x14ac:dyDescent="0.45">
      <c r="A102" t="s">
        <v>355</v>
      </c>
    </row>
    <row r="103" spans="1:1" x14ac:dyDescent="0.45">
      <c r="A103" t="s">
        <v>356</v>
      </c>
    </row>
    <row r="104" spans="1:1" x14ac:dyDescent="0.45">
      <c r="A104" t="s">
        <v>357</v>
      </c>
    </row>
    <row r="105" spans="1:1" x14ac:dyDescent="0.45">
      <c r="A105" t="s">
        <v>358</v>
      </c>
    </row>
    <row r="106" spans="1:1" x14ac:dyDescent="0.45">
      <c r="A106" t="s">
        <v>359</v>
      </c>
    </row>
    <row r="107" spans="1:1" x14ac:dyDescent="0.45">
      <c r="A107" t="s">
        <v>360</v>
      </c>
    </row>
    <row r="108" spans="1:1" x14ac:dyDescent="0.45">
      <c r="A108" t="s">
        <v>361</v>
      </c>
    </row>
    <row r="109" spans="1:1" x14ac:dyDescent="0.45">
      <c r="A109" t="s">
        <v>362</v>
      </c>
    </row>
    <row r="110" spans="1:1" x14ac:dyDescent="0.45">
      <c r="A110" t="s">
        <v>363</v>
      </c>
    </row>
    <row r="111" spans="1:1" x14ac:dyDescent="0.45">
      <c r="A111" t="s">
        <v>364</v>
      </c>
    </row>
    <row r="112" spans="1:1" x14ac:dyDescent="0.45">
      <c r="A112" t="s">
        <v>365</v>
      </c>
    </row>
    <row r="113" spans="1:1" x14ac:dyDescent="0.45">
      <c r="A113" t="s">
        <v>366</v>
      </c>
    </row>
    <row r="114" spans="1:1" x14ac:dyDescent="0.45">
      <c r="A114" t="s">
        <v>1</v>
      </c>
    </row>
    <row r="115" spans="1:1" x14ac:dyDescent="0.45">
      <c r="A115" t="s">
        <v>130</v>
      </c>
    </row>
    <row r="116" spans="1:1" x14ac:dyDescent="0.45">
      <c r="A116" t="s">
        <v>367</v>
      </c>
    </row>
    <row r="117" spans="1:1" x14ac:dyDescent="0.45">
      <c r="A117" t="s">
        <v>368</v>
      </c>
    </row>
    <row r="118" spans="1:1" x14ac:dyDescent="0.45">
      <c r="A118" t="s">
        <v>369</v>
      </c>
    </row>
    <row r="119" spans="1:1" x14ac:dyDescent="0.45">
      <c r="A119" t="s">
        <v>370</v>
      </c>
    </row>
    <row r="120" spans="1:1" x14ac:dyDescent="0.45">
      <c r="A120" t="s">
        <v>1</v>
      </c>
    </row>
    <row r="121" spans="1:1" x14ac:dyDescent="0.45">
      <c r="A121" t="s">
        <v>371</v>
      </c>
    </row>
    <row r="122" spans="1:1" x14ac:dyDescent="0.45">
      <c r="A122" t="s">
        <v>1</v>
      </c>
    </row>
    <row r="123" spans="1:1" x14ac:dyDescent="0.45">
      <c r="A123" t="s">
        <v>372</v>
      </c>
    </row>
    <row r="124" spans="1:1" x14ac:dyDescent="0.45">
      <c r="A124" t="s">
        <v>373</v>
      </c>
    </row>
    <row r="125" spans="1:1" x14ac:dyDescent="0.45">
      <c r="A125" t="s">
        <v>374</v>
      </c>
    </row>
    <row r="126" spans="1:1" x14ac:dyDescent="0.45">
      <c r="A126" t="s">
        <v>375</v>
      </c>
    </row>
    <row r="127" spans="1:1" x14ac:dyDescent="0.45">
      <c r="A127" t="s">
        <v>376</v>
      </c>
    </row>
    <row r="128" spans="1:1" x14ac:dyDescent="0.45">
      <c r="A128" t="s">
        <v>377</v>
      </c>
    </row>
    <row r="129" spans="1:1" x14ac:dyDescent="0.45">
      <c r="A129" t="s">
        <v>378</v>
      </c>
    </row>
    <row r="130" spans="1:1" x14ac:dyDescent="0.45">
      <c r="A130" t="s">
        <v>379</v>
      </c>
    </row>
    <row r="131" spans="1:1" x14ac:dyDescent="0.45">
      <c r="A131" t="s">
        <v>380</v>
      </c>
    </row>
    <row r="132" spans="1:1" x14ac:dyDescent="0.45">
      <c r="A132" t="s">
        <v>381</v>
      </c>
    </row>
    <row r="133" spans="1:1" x14ac:dyDescent="0.45">
      <c r="A133" t="s">
        <v>382</v>
      </c>
    </row>
    <row r="134" spans="1:1" x14ac:dyDescent="0.45">
      <c r="A134" t="s">
        <v>383</v>
      </c>
    </row>
    <row r="135" spans="1:1" x14ac:dyDescent="0.45">
      <c r="A135" t="s">
        <v>384</v>
      </c>
    </row>
    <row r="136" spans="1:1" x14ac:dyDescent="0.45">
      <c r="A136" s="1" t="e">
        <f>CONCATENATE("http ",UCAN_MGMT_Network, " ", UCAN_MGMT_Mask, " management")</f>
        <v>#REF!</v>
      </c>
    </row>
    <row r="137" spans="1:1" x14ac:dyDescent="0.45">
      <c r="A137" t="s">
        <v>385</v>
      </c>
    </row>
    <row r="138" spans="1:1" x14ac:dyDescent="0.45">
      <c r="A138" t="s">
        <v>386</v>
      </c>
    </row>
    <row r="139" spans="1:1" x14ac:dyDescent="0.45">
      <c r="A139" t="s">
        <v>387</v>
      </c>
    </row>
    <row r="140" spans="1:1" x14ac:dyDescent="0.45">
      <c r="A140" t="s">
        <v>388</v>
      </c>
    </row>
    <row r="141" spans="1:1" x14ac:dyDescent="0.45">
      <c r="A141" t="s">
        <v>389</v>
      </c>
    </row>
    <row r="142" spans="1:1" x14ac:dyDescent="0.45">
      <c r="A142" t="s">
        <v>390</v>
      </c>
    </row>
    <row r="143" spans="1:1" x14ac:dyDescent="0.45">
      <c r="A143" t="s">
        <v>391</v>
      </c>
    </row>
    <row r="144" spans="1:1" x14ac:dyDescent="0.45">
      <c r="A144" t="s">
        <v>392</v>
      </c>
    </row>
    <row r="145" spans="1:1" x14ac:dyDescent="0.45">
      <c r="A145" t="s">
        <v>393</v>
      </c>
    </row>
    <row r="146" spans="1:1" x14ac:dyDescent="0.45">
      <c r="A146" t="s">
        <v>394</v>
      </c>
    </row>
    <row r="147" spans="1:1" x14ac:dyDescent="0.45">
      <c r="A147" t="s">
        <v>395</v>
      </c>
    </row>
    <row r="148" spans="1:1" x14ac:dyDescent="0.45">
      <c r="A148" t="s">
        <v>396</v>
      </c>
    </row>
    <row r="149" spans="1:1" x14ac:dyDescent="0.45">
      <c r="A149" t="s">
        <v>397</v>
      </c>
    </row>
    <row r="150" spans="1:1" x14ac:dyDescent="0.45">
      <c r="A150" t="s">
        <v>398</v>
      </c>
    </row>
    <row r="151" spans="1:1" x14ac:dyDescent="0.45">
      <c r="A151" t="s">
        <v>399</v>
      </c>
    </row>
    <row r="152" spans="1:1" x14ac:dyDescent="0.45">
      <c r="A152" t="s">
        <v>400</v>
      </c>
    </row>
    <row r="153" spans="1:1" x14ac:dyDescent="0.45">
      <c r="A153" t="s">
        <v>401</v>
      </c>
    </row>
    <row r="154" spans="1:1" x14ac:dyDescent="0.45">
      <c r="A154" t="s">
        <v>402</v>
      </c>
    </row>
    <row r="155" spans="1:1" x14ac:dyDescent="0.45">
      <c r="A155" t="s">
        <v>403</v>
      </c>
    </row>
    <row r="156" spans="1:1" x14ac:dyDescent="0.45">
      <c r="A156" t="s">
        <v>404</v>
      </c>
    </row>
    <row r="157" spans="1:1" x14ac:dyDescent="0.45">
      <c r="A157" t="s">
        <v>405</v>
      </c>
    </row>
    <row r="158" spans="1:1" x14ac:dyDescent="0.45">
      <c r="A158" t="s">
        <v>406</v>
      </c>
    </row>
    <row r="159" spans="1:1" x14ac:dyDescent="0.45">
      <c r="A159" t="s">
        <v>407</v>
      </c>
    </row>
    <row r="160" spans="1:1" x14ac:dyDescent="0.45">
      <c r="A160" t="s">
        <v>408</v>
      </c>
    </row>
    <row r="161" spans="1:1" x14ac:dyDescent="0.45">
      <c r="A161" t="s">
        <v>409</v>
      </c>
    </row>
    <row r="162" spans="1:1" x14ac:dyDescent="0.45">
      <c r="A162" t="s">
        <v>410</v>
      </c>
    </row>
    <row r="163" spans="1:1" x14ac:dyDescent="0.45">
      <c r="A163" t="s">
        <v>411</v>
      </c>
    </row>
    <row r="164" spans="1:1" x14ac:dyDescent="0.45">
      <c r="A164" t="s">
        <v>412</v>
      </c>
    </row>
    <row r="165" spans="1:1" x14ac:dyDescent="0.45">
      <c r="A165" t="s">
        <v>413</v>
      </c>
    </row>
    <row r="166" spans="1:1" x14ac:dyDescent="0.45">
      <c r="A166" t="s">
        <v>414</v>
      </c>
    </row>
    <row r="167" spans="1:1" x14ac:dyDescent="0.45">
      <c r="A167" t="s">
        <v>415</v>
      </c>
    </row>
    <row r="168" spans="1:1" x14ac:dyDescent="0.45">
      <c r="A168" t="s">
        <v>416</v>
      </c>
    </row>
    <row r="169" spans="1:1" x14ac:dyDescent="0.45">
      <c r="A169" t="s">
        <v>417</v>
      </c>
    </row>
    <row r="170" spans="1:1" x14ac:dyDescent="0.45">
      <c r="A170" t="s">
        <v>418</v>
      </c>
    </row>
    <row r="171" spans="1:1" x14ac:dyDescent="0.45">
      <c r="A171" t="s">
        <v>419</v>
      </c>
    </row>
    <row r="172" spans="1:1" x14ac:dyDescent="0.45">
      <c r="A172" t="s">
        <v>420</v>
      </c>
    </row>
    <row r="173" spans="1:1" x14ac:dyDescent="0.45">
      <c r="A173" t="s">
        <v>421</v>
      </c>
    </row>
    <row r="174" spans="1:1" x14ac:dyDescent="0.45">
      <c r="A174" t="s">
        <v>422</v>
      </c>
    </row>
    <row r="175" spans="1:1" x14ac:dyDescent="0.45">
      <c r="A175" t="s">
        <v>423</v>
      </c>
    </row>
    <row r="176" spans="1:1" x14ac:dyDescent="0.45">
      <c r="A176" t="s">
        <v>424</v>
      </c>
    </row>
    <row r="177" spans="1:1" x14ac:dyDescent="0.45">
      <c r="A177" t="s">
        <v>425</v>
      </c>
    </row>
    <row r="178" spans="1:1" x14ac:dyDescent="0.45">
      <c r="A178" t="s">
        <v>426</v>
      </c>
    </row>
    <row r="179" spans="1:1" x14ac:dyDescent="0.45">
      <c r="A179" t="s">
        <v>427</v>
      </c>
    </row>
    <row r="180" spans="1:1" x14ac:dyDescent="0.45">
      <c r="A180" t="s">
        <v>428</v>
      </c>
    </row>
    <row r="181" spans="1:1" x14ac:dyDescent="0.45">
      <c r="A181" t="s">
        <v>429</v>
      </c>
    </row>
    <row r="182" spans="1:1" x14ac:dyDescent="0.45">
      <c r="A182" t="s">
        <v>430</v>
      </c>
    </row>
    <row r="183" spans="1:1" x14ac:dyDescent="0.45">
      <c r="A183" t="s">
        <v>431</v>
      </c>
    </row>
    <row r="184" spans="1:1" x14ac:dyDescent="0.45">
      <c r="A184" s="17" t="s">
        <v>432</v>
      </c>
    </row>
    <row r="185" spans="1:1" x14ac:dyDescent="0.45">
      <c r="A185" t="s">
        <v>433</v>
      </c>
    </row>
    <row r="186" spans="1:1" x14ac:dyDescent="0.45">
      <c r="A186" t="s">
        <v>434</v>
      </c>
    </row>
    <row r="187" spans="1:1" x14ac:dyDescent="0.45">
      <c r="A187" t="s">
        <v>435</v>
      </c>
    </row>
    <row r="188" spans="1:1" x14ac:dyDescent="0.45">
      <c r="A188" t="s">
        <v>436</v>
      </c>
    </row>
    <row r="189" spans="1:1" x14ac:dyDescent="0.45">
      <c r="A189" t="s">
        <v>437</v>
      </c>
    </row>
    <row r="190" spans="1:1" x14ac:dyDescent="0.45">
      <c r="A190" t="s">
        <v>438</v>
      </c>
    </row>
    <row r="191" spans="1:1" x14ac:dyDescent="0.45">
      <c r="A191" t="s">
        <v>439</v>
      </c>
    </row>
    <row r="192" spans="1:1" x14ac:dyDescent="0.45">
      <c r="A192" t="s">
        <v>440</v>
      </c>
    </row>
    <row r="193" spans="1:1" x14ac:dyDescent="0.45">
      <c r="A193" t="s">
        <v>441</v>
      </c>
    </row>
    <row r="194" spans="1:1" x14ac:dyDescent="0.45">
      <c r="A194" t="s">
        <v>442</v>
      </c>
    </row>
    <row r="195" spans="1:1" x14ac:dyDescent="0.45">
      <c r="A195" t="s">
        <v>443</v>
      </c>
    </row>
    <row r="196" spans="1:1" x14ac:dyDescent="0.45">
      <c r="A196" s="1" t="e">
        <f>CONCATENATE("ssh ",UCAN_MGMT_Network, " ", UCAN_MGMT_Mask, " management")</f>
        <v>#REF!</v>
      </c>
    </row>
    <row r="197" spans="1:1" x14ac:dyDescent="0.45">
      <c r="A197" t="s">
        <v>444</v>
      </c>
    </row>
    <row r="198" spans="1:1" x14ac:dyDescent="0.45">
      <c r="A198" t="s">
        <v>445</v>
      </c>
    </row>
    <row r="199" spans="1:1" x14ac:dyDescent="0.45">
      <c r="A199" t="s">
        <v>1</v>
      </c>
    </row>
    <row r="200" spans="1:1" x14ac:dyDescent="0.45">
      <c r="A200" t="s">
        <v>1</v>
      </c>
    </row>
    <row r="201" spans="1:1" x14ac:dyDescent="0.45">
      <c r="A201" t="s">
        <v>1</v>
      </c>
    </row>
    <row r="202" spans="1:1" x14ac:dyDescent="0.45">
      <c r="A202" t="s">
        <v>1</v>
      </c>
    </row>
    <row r="203" spans="1:1" x14ac:dyDescent="0.45">
      <c r="A203" t="s">
        <v>1</v>
      </c>
    </row>
    <row r="204" spans="1:1" x14ac:dyDescent="0.45">
      <c r="A204" t="s">
        <v>446</v>
      </c>
    </row>
    <row r="205" spans="1:1" x14ac:dyDescent="0.45">
      <c r="A205" t="s">
        <v>447</v>
      </c>
    </row>
    <row r="206" spans="1:1" x14ac:dyDescent="0.45">
      <c r="A206" t="s">
        <v>448</v>
      </c>
    </row>
    <row r="207" spans="1:1" x14ac:dyDescent="0.45">
      <c r="A207" t="s">
        <v>449</v>
      </c>
    </row>
    <row r="208" spans="1:1" x14ac:dyDescent="0.45">
      <c r="A208" s="1" t="str">
        <f>CONCATENATE("username ",Username, " password ", Password, " privilege ", Priviledge_Level)</f>
        <v>username cisco password cisco privilege 15</v>
      </c>
    </row>
    <row r="209" spans="1:1" x14ac:dyDescent="0.45">
      <c r="A209" t="s">
        <v>1</v>
      </c>
    </row>
    <row r="210" spans="1:1" x14ac:dyDescent="0.45">
      <c r="A210" t="s">
        <v>450</v>
      </c>
    </row>
    <row r="211" spans="1:1" x14ac:dyDescent="0.45">
      <c r="A211" t="s">
        <v>451</v>
      </c>
    </row>
    <row r="212" spans="1:1" x14ac:dyDescent="0.45">
      <c r="A212" t="s">
        <v>1</v>
      </c>
    </row>
    <row r="213" spans="1:1" x14ac:dyDescent="0.45">
      <c r="A213" t="s">
        <v>1</v>
      </c>
    </row>
    <row r="214" spans="1:1" x14ac:dyDescent="0.45">
      <c r="A214" t="s">
        <v>452</v>
      </c>
    </row>
    <row r="215" spans="1:1" x14ac:dyDescent="0.45">
      <c r="A215" t="s">
        <v>453</v>
      </c>
    </row>
    <row r="216" spans="1:1" x14ac:dyDescent="0.45">
      <c r="A216" t="s">
        <v>454</v>
      </c>
    </row>
    <row r="217" spans="1:1" x14ac:dyDescent="0.45">
      <c r="A217" t="s">
        <v>455</v>
      </c>
    </row>
    <row r="218" spans="1:1" x14ac:dyDescent="0.45">
      <c r="A218" t="s">
        <v>456</v>
      </c>
    </row>
    <row r="219" spans="1:1" x14ac:dyDescent="0.45">
      <c r="A219" t="s">
        <v>457</v>
      </c>
    </row>
    <row r="220" spans="1:1" x14ac:dyDescent="0.45">
      <c r="A220" t="s">
        <v>458</v>
      </c>
    </row>
    <row r="221" spans="1:1" x14ac:dyDescent="0.45">
      <c r="A221" t="s">
        <v>459</v>
      </c>
    </row>
    <row r="222" spans="1:1" x14ac:dyDescent="0.45">
      <c r="A222" t="s">
        <v>460</v>
      </c>
    </row>
    <row r="223" spans="1:1" x14ac:dyDescent="0.45">
      <c r="A223" t="s">
        <v>461</v>
      </c>
    </row>
    <row r="224" spans="1:1" x14ac:dyDescent="0.45">
      <c r="A224" t="s">
        <v>462</v>
      </c>
    </row>
    <row r="225" spans="1:1" x14ac:dyDescent="0.45">
      <c r="A225" t="s">
        <v>463</v>
      </c>
    </row>
    <row r="226" spans="1:1" x14ac:dyDescent="0.45">
      <c r="A226" t="s">
        <v>464</v>
      </c>
    </row>
    <row r="227" spans="1:1" x14ac:dyDescent="0.45">
      <c r="A227" t="s">
        <v>465</v>
      </c>
    </row>
    <row r="228" spans="1:1" x14ac:dyDescent="0.45">
      <c r="A228" t="s">
        <v>466</v>
      </c>
    </row>
    <row r="229" spans="1:1" x14ac:dyDescent="0.45">
      <c r="A229" t="s">
        <v>467</v>
      </c>
    </row>
    <row r="230" spans="1:1" x14ac:dyDescent="0.45">
      <c r="A230" t="s">
        <v>468</v>
      </c>
    </row>
    <row r="231" spans="1:1" x14ac:dyDescent="0.45">
      <c r="A231" t="s">
        <v>469</v>
      </c>
    </row>
    <row r="232" spans="1:1" x14ac:dyDescent="0.45">
      <c r="A232" t="s">
        <v>470</v>
      </c>
    </row>
    <row r="233" spans="1:1" x14ac:dyDescent="0.45">
      <c r="A233" t="s">
        <v>471</v>
      </c>
    </row>
    <row r="234" spans="1:1" x14ac:dyDescent="0.45">
      <c r="A234" t="s">
        <v>472</v>
      </c>
    </row>
    <row r="235" spans="1:1" x14ac:dyDescent="0.45">
      <c r="A235" t="s">
        <v>473</v>
      </c>
    </row>
    <row r="236" spans="1:1" x14ac:dyDescent="0.45">
      <c r="A236" t="s">
        <v>474</v>
      </c>
    </row>
    <row r="237" spans="1:1" x14ac:dyDescent="0.45">
      <c r="A237" t="s">
        <v>453</v>
      </c>
    </row>
    <row r="238" spans="1:1" x14ac:dyDescent="0.45">
      <c r="A238" t="s">
        <v>454</v>
      </c>
    </row>
    <row r="239" spans="1:1" x14ac:dyDescent="0.45">
      <c r="A239" t="s">
        <v>455</v>
      </c>
    </row>
    <row r="240" spans="1:1" x14ac:dyDescent="0.45">
      <c r="A240" t="s">
        <v>456</v>
      </c>
    </row>
    <row r="241" spans="1:1" x14ac:dyDescent="0.45">
      <c r="A241" t="s">
        <v>1</v>
      </c>
    </row>
    <row r="242" spans="1:1" x14ac:dyDescent="0.45">
      <c r="A242" t="s">
        <v>475</v>
      </c>
    </row>
    <row r="243" spans="1:1" x14ac:dyDescent="0.45">
      <c r="A243" t="s">
        <v>476</v>
      </c>
    </row>
    <row r="244" spans="1:1" x14ac:dyDescent="0.45">
      <c r="A244" t="s">
        <v>477</v>
      </c>
    </row>
    <row r="245" spans="1:1" x14ac:dyDescent="0.45">
      <c r="A245" t="s">
        <v>19</v>
      </c>
    </row>
    <row r="246" spans="1:1" x14ac:dyDescent="0.45">
      <c r="A246" t="s">
        <v>478</v>
      </c>
    </row>
    <row r="247" spans="1:1" x14ac:dyDescent="0.45">
      <c r="A247" t="s">
        <v>479</v>
      </c>
    </row>
    <row r="248" spans="1:1" x14ac:dyDescent="0.45">
      <c r="A248" t="s">
        <v>480</v>
      </c>
    </row>
    <row r="249" spans="1:1" x14ac:dyDescent="0.45">
      <c r="A249" t="s">
        <v>481</v>
      </c>
    </row>
    <row r="250" spans="1:1" x14ac:dyDescent="0.45">
      <c r="A250" t="s">
        <v>25</v>
      </c>
    </row>
    <row r="251" spans="1:1" x14ac:dyDescent="0.45">
      <c r="A251" t="s">
        <v>482</v>
      </c>
    </row>
    <row r="252" spans="1:1" x14ac:dyDescent="0.45">
      <c r="A252" t="s">
        <v>483</v>
      </c>
    </row>
    <row r="253" spans="1:1" x14ac:dyDescent="0.45">
      <c r="A253" t="s">
        <v>484</v>
      </c>
    </row>
    <row r="254" spans="1:1" x14ac:dyDescent="0.45">
      <c r="A254" t="s">
        <v>485</v>
      </c>
    </row>
    <row r="255" spans="1:1" x14ac:dyDescent="0.45">
      <c r="A255" t="s">
        <v>486</v>
      </c>
    </row>
    <row r="256" spans="1:1" x14ac:dyDescent="0.45">
      <c r="A256" t="s">
        <v>487</v>
      </c>
    </row>
    <row r="257" spans="1:1" x14ac:dyDescent="0.45">
      <c r="A257" t="s">
        <v>480</v>
      </c>
    </row>
    <row r="258" spans="1:1" x14ac:dyDescent="0.45">
      <c r="A258" t="s">
        <v>25</v>
      </c>
    </row>
    <row r="259" spans="1:1" x14ac:dyDescent="0.45">
      <c r="A259" t="s">
        <v>488</v>
      </c>
    </row>
    <row r="260" spans="1:1" x14ac:dyDescent="0.45">
      <c r="A260" t="s">
        <v>489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96</vt:i4>
      </vt:variant>
    </vt:vector>
  </HeadingPairs>
  <TitlesOfParts>
    <vt:vector size="107" baseType="lpstr">
      <vt:lpstr>Variables</vt:lpstr>
      <vt:lpstr>FCAN Network Information</vt:lpstr>
      <vt:lpstr>UCAN Network Information</vt:lpstr>
      <vt:lpstr>MCAN Network Information</vt:lpstr>
      <vt:lpstr>RCAN Network Information</vt:lpstr>
      <vt:lpstr>FCAN-Transport-Router-Template</vt:lpstr>
      <vt:lpstr>FCAN-Transport-Switch-Template</vt:lpstr>
      <vt:lpstr>FCAN-Transport-FW-Template</vt:lpstr>
      <vt:lpstr>UCAN-Transport-Router-Template</vt:lpstr>
      <vt:lpstr>UCAN-Transport-Switch-Template</vt:lpstr>
      <vt:lpstr>UCAN-Transport-FW-Template</vt:lpstr>
      <vt:lpstr>Comm_Tunnel_Subnet</vt:lpstr>
      <vt:lpstr>Comm_Tunnel_Subnet_Mask</vt:lpstr>
      <vt:lpstr>Commercial_NHRP_Net_ID</vt:lpstr>
      <vt:lpstr>Commercial_PSK</vt:lpstr>
      <vt:lpstr>Commercial_Tunnel_Destination</vt:lpstr>
      <vt:lpstr>Commercial_Tunnel_Key</vt:lpstr>
      <vt:lpstr>Commercial_Tunnel_Number</vt:lpstr>
      <vt:lpstr>Domain_Name</vt:lpstr>
      <vt:lpstr>Enable_Secret</vt:lpstr>
      <vt:lpstr>'MCAN Network Information'!FCAN_Commercial_IP</vt:lpstr>
      <vt:lpstr>'RCAN Network Information'!FCAN_Commercial_IP</vt:lpstr>
      <vt:lpstr>'UCAN Network Information'!FCAN_Commercial_IP</vt:lpstr>
      <vt:lpstr>FCAN_Commercial_IP</vt:lpstr>
      <vt:lpstr>'MCAN Network Information'!FCAN_Commercial_Mask</vt:lpstr>
      <vt:lpstr>'RCAN Network Information'!FCAN_Commercial_Mask</vt:lpstr>
      <vt:lpstr>'UCAN Network Information'!FCAN_Commercial_Mask</vt:lpstr>
      <vt:lpstr>FCAN_Commercial_Mask</vt:lpstr>
      <vt:lpstr>'MCAN Network Information'!FCAN_Secure_CT_IP</vt:lpstr>
      <vt:lpstr>'RCAN Network Information'!FCAN_Secure_CT_IP</vt:lpstr>
      <vt:lpstr>'UCAN Network Information'!FCAN_Secure_CT_IP</vt:lpstr>
      <vt:lpstr>FCAN_Secure_CT_IP</vt:lpstr>
      <vt:lpstr>'MCAN Network Information'!FCAN_Secure_CT_Subnetmask</vt:lpstr>
      <vt:lpstr>'RCAN Network Information'!FCAN_Secure_CT_Subnetmask</vt:lpstr>
      <vt:lpstr>'UCAN Network Information'!FCAN_Secure_CT_Subnetmask</vt:lpstr>
      <vt:lpstr>FCAN_Secure_CT_Subnetmask</vt:lpstr>
      <vt:lpstr>'MCAN Network Information'!FCAN_Transport_FW_MGMT_IP</vt:lpstr>
      <vt:lpstr>'RCAN Network Information'!FCAN_Transport_FW_MGMT_IP</vt:lpstr>
      <vt:lpstr>'UCAN Network Information'!FCAN_Transport_FW_MGMT_IP</vt:lpstr>
      <vt:lpstr>FCAN_Transport_FW_MGMT_IP</vt:lpstr>
      <vt:lpstr>'MCAN Network Information'!FCAN_Transport_FW_Trusted_IP</vt:lpstr>
      <vt:lpstr>'RCAN Network Information'!FCAN_Transport_FW_Trusted_IP</vt:lpstr>
      <vt:lpstr>'UCAN Network Information'!FCAN_Transport_FW_Trusted_IP</vt:lpstr>
      <vt:lpstr>FCAN_Transport_FW_Trusted_IP</vt:lpstr>
      <vt:lpstr>'MCAN Network Information'!FCAN_Transport_FW_Trusted_Mask</vt:lpstr>
      <vt:lpstr>'RCAN Network Information'!FCAN_Transport_FW_Trusted_Mask</vt:lpstr>
      <vt:lpstr>'UCAN Network Information'!FCAN_Transport_FW_Trusted_Mask</vt:lpstr>
      <vt:lpstr>FCAN_Transport_FW_Trusted_Mask</vt:lpstr>
      <vt:lpstr>'MCAN Network Information'!FCAN_Transport_LoopBack</vt:lpstr>
      <vt:lpstr>'RCAN Network Information'!FCAN_Transport_LoopBack</vt:lpstr>
      <vt:lpstr>'UCAN Network Information'!FCAN_Transport_LoopBack</vt:lpstr>
      <vt:lpstr>FCAN_Transport_LoopBack</vt:lpstr>
      <vt:lpstr>'MCAN Network Information'!FCAN_Transport_Loopback_Mask</vt:lpstr>
      <vt:lpstr>'RCAN Network Information'!FCAN_Transport_Loopback_Mask</vt:lpstr>
      <vt:lpstr>'UCAN Network Information'!FCAN_Transport_Loopback_Mask</vt:lpstr>
      <vt:lpstr>FCAN_Transport_Loopback_Mask</vt:lpstr>
      <vt:lpstr>'MCAN Network Information'!FCAN_Transport_MGMT_GW_IP</vt:lpstr>
      <vt:lpstr>'RCAN Network Information'!FCAN_Transport_MGMT_GW_IP</vt:lpstr>
      <vt:lpstr>'UCAN Network Information'!FCAN_Transport_MGMT_GW_IP</vt:lpstr>
      <vt:lpstr>FCAN_Transport_MGMT_GW_IP</vt:lpstr>
      <vt:lpstr>'MCAN Network Information'!FCAN_Transport_MGMT_MASK</vt:lpstr>
      <vt:lpstr>'RCAN Network Information'!FCAN_Transport_MGMT_MASK</vt:lpstr>
      <vt:lpstr>'UCAN Network Information'!FCAN_Transport_MGMT_MASK</vt:lpstr>
      <vt:lpstr>FCAN_Transport_MGMT_MASK</vt:lpstr>
      <vt:lpstr>'MCAN Network Information'!FCAN_Transport_MGMT_Network</vt:lpstr>
      <vt:lpstr>'RCAN Network Information'!FCAN_Transport_MGMT_Network</vt:lpstr>
      <vt:lpstr>'UCAN Network Information'!FCAN_Transport_MGMT_Network</vt:lpstr>
      <vt:lpstr>FCAN_Transport_MGMT_Network</vt:lpstr>
      <vt:lpstr>'MCAN Network Information'!FCAN_Transport_SW_MGMT_IP</vt:lpstr>
      <vt:lpstr>'RCAN Network Information'!FCAN_Transport_SW_MGMT_IP</vt:lpstr>
      <vt:lpstr>'UCAN Network Information'!FCAN_Transport_SW_MGMT_IP</vt:lpstr>
      <vt:lpstr>FCAN_Transport_SW_MGMT_IP</vt:lpstr>
      <vt:lpstr>'MCAN Network Information'!FCAN_WGS_Interface_IP</vt:lpstr>
      <vt:lpstr>'RCAN Network Information'!FCAN_WGS_Interface_IP</vt:lpstr>
      <vt:lpstr>'UCAN Network Information'!FCAN_WGS_Interface_IP</vt:lpstr>
      <vt:lpstr>FCAN_WGS_Interface_IP</vt:lpstr>
      <vt:lpstr>'MCAN Network Information'!FCAN_WGS_Mask</vt:lpstr>
      <vt:lpstr>'RCAN Network Information'!FCAN_WGS_Mask</vt:lpstr>
      <vt:lpstr>'UCAN Network Information'!FCAN_WGS_Mask</vt:lpstr>
      <vt:lpstr>FCAN_WGS_Mask</vt:lpstr>
      <vt:lpstr>'MCAN Network Information'!FCAN_WGS_Modem_IP</vt:lpstr>
      <vt:lpstr>'RCAN Network Information'!FCAN_WGS_Modem_IP</vt:lpstr>
      <vt:lpstr>'UCAN Network Information'!FCAN_WGS_Modem_IP</vt:lpstr>
      <vt:lpstr>FCAN_WGS_Modem_IP</vt:lpstr>
      <vt:lpstr>Hostname</vt:lpstr>
      <vt:lpstr>Logging_Host</vt:lpstr>
      <vt:lpstr>MCAN_Restricted_Subnet</vt:lpstr>
      <vt:lpstr>MCAN_Secure_Subnet</vt:lpstr>
      <vt:lpstr>MCAN_Transport_Subnet</vt:lpstr>
      <vt:lpstr>MCAN_Unclassified_Subnet</vt:lpstr>
      <vt:lpstr>NTP_Server</vt:lpstr>
      <vt:lpstr>Password</vt:lpstr>
      <vt:lpstr>Priviledge_Level</vt:lpstr>
      <vt:lpstr>UCAN_Restricted_Subnet</vt:lpstr>
      <vt:lpstr>UCAN_Secure_Subnet</vt:lpstr>
      <vt:lpstr>UCAN_Transport_Subnet</vt:lpstr>
      <vt:lpstr>UCAN_Unclassified_Subnet</vt:lpstr>
      <vt:lpstr>Username</vt:lpstr>
      <vt:lpstr>VTP_Domain</vt:lpstr>
      <vt:lpstr>WGS_NHRP_ID</vt:lpstr>
      <vt:lpstr>WGS_PSK</vt:lpstr>
      <vt:lpstr>WGS_Tunnel_Destination</vt:lpstr>
      <vt:lpstr>WGS_Tunnel_Key</vt:lpstr>
      <vt:lpstr>WGS_Tunnel_mask</vt:lpstr>
      <vt:lpstr>WGS_Tunnel_Number</vt:lpstr>
      <vt:lpstr>WGS_Tunnel_Subnet</vt:lpstr>
      <vt:lpstr>WGS_Tunnel_Subnet_Mask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</dc:creator>
  <cp:lastModifiedBy>keith</cp:lastModifiedBy>
  <dcterms:created xsi:type="dcterms:W3CDTF">2019-08-07T18:23:16Z</dcterms:created>
  <dcterms:modified xsi:type="dcterms:W3CDTF">2019-08-21T21:55:00Z</dcterms:modified>
</cp:coreProperties>
</file>